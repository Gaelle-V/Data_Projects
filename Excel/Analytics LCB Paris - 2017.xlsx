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WEBMARKETING\3. Statistiques\Archives\2017\"/>
    </mc:Choice>
  </mc:AlternateContent>
  <bookViews>
    <workbookView xWindow="0" yWindow="0" windowWidth="28800" windowHeight="11475" activeTab="2"/>
  </bookViews>
  <sheets>
    <sheet name="2017 Website" sheetId="1" r:id="rId1"/>
    <sheet name="2017 Website Graph" sheetId="4" r:id="rId2"/>
    <sheet name="2017 Newsletter" sheetId="2" r:id="rId3"/>
    <sheet name="2017 Emailing" sheetId="3" r:id="rId4"/>
    <sheet name="2016 Websit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" l="1"/>
  <c r="P22" i="1" l="1"/>
  <c r="O22" i="1"/>
  <c r="U26" i="1" l="1"/>
  <c r="P40" i="1"/>
  <c r="N41" i="1"/>
  <c r="N39" i="1"/>
  <c r="N37" i="1"/>
  <c r="N35" i="1"/>
  <c r="N33" i="1"/>
  <c r="P30" i="1"/>
  <c r="N31" i="1"/>
  <c r="N29" i="1"/>
  <c r="O4" i="1"/>
  <c r="P7" i="1"/>
  <c r="O16" i="1"/>
  <c r="N17" i="1"/>
  <c r="N18" i="1"/>
  <c r="N14" i="1"/>
  <c r="N15" i="1"/>
  <c r="N12" i="1"/>
  <c r="N11" i="1"/>
  <c r="N9" i="1"/>
  <c r="N8" i="1"/>
  <c r="N6" i="1"/>
  <c r="N5" i="1"/>
  <c r="P2" i="2" l="1"/>
  <c r="M5" i="1" l="1"/>
  <c r="M6" i="1"/>
  <c r="M8" i="1"/>
  <c r="M9" i="1"/>
  <c r="M11" i="1"/>
  <c r="M12" i="1"/>
  <c r="M14" i="1"/>
  <c r="M15" i="1"/>
  <c r="M17" i="1"/>
  <c r="M18" i="1"/>
  <c r="M29" i="1"/>
  <c r="M31" i="1"/>
  <c r="M33" i="1"/>
  <c r="M35" i="1"/>
  <c r="M37" i="1"/>
  <c r="M39" i="1"/>
  <c r="M41" i="1"/>
  <c r="P52" i="1"/>
  <c r="P50" i="1"/>
  <c r="P48" i="1"/>
  <c r="P46" i="1"/>
  <c r="I47" i="1"/>
  <c r="J47" i="1"/>
  <c r="K47" i="1"/>
  <c r="L47" i="1"/>
  <c r="M47" i="1"/>
  <c r="I49" i="1"/>
  <c r="J49" i="1"/>
  <c r="K49" i="1"/>
  <c r="L49" i="1"/>
  <c r="M49" i="1"/>
  <c r="I51" i="1"/>
  <c r="J51" i="1"/>
  <c r="K51" i="1"/>
  <c r="L51" i="1"/>
  <c r="M51" i="1"/>
  <c r="I53" i="1"/>
  <c r="J53" i="1"/>
  <c r="K53" i="1"/>
  <c r="L53" i="1"/>
  <c r="M53" i="1"/>
  <c r="L17" i="1" l="1"/>
  <c r="L18" i="1"/>
  <c r="L14" i="1"/>
  <c r="L15" i="1"/>
  <c r="L11" i="1"/>
  <c r="L12" i="1"/>
  <c r="L8" i="1"/>
  <c r="L9" i="1"/>
  <c r="L5" i="1"/>
  <c r="L6" i="1"/>
  <c r="L23" i="1"/>
  <c r="L25" i="1"/>
  <c r="L29" i="1"/>
  <c r="L31" i="1"/>
  <c r="L33" i="1"/>
  <c r="L35" i="1"/>
  <c r="L37" i="1"/>
  <c r="L39" i="1"/>
  <c r="L41" i="1"/>
  <c r="J25" i="1" l="1"/>
  <c r="K25" i="1"/>
  <c r="J23" i="1"/>
  <c r="K23" i="1"/>
  <c r="J27" i="1"/>
  <c r="K27" i="1"/>
  <c r="P4" i="1" l="1"/>
  <c r="H26" i="3" l="1"/>
  <c r="G26" i="3"/>
  <c r="F26" i="3"/>
  <c r="E26" i="3"/>
  <c r="J8" i="3" l="1"/>
  <c r="B25" i="3"/>
  <c r="B26" i="3" s="1"/>
  <c r="B23" i="3"/>
  <c r="D26" i="3"/>
  <c r="D23" i="3"/>
  <c r="J18" i="1" l="1"/>
  <c r="K18" i="1"/>
  <c r="J17" i="1"/>
  <c r="K17" i="1"/>
  <c r="K39" i="1" l="1"/>
  <c r="K37" i="1"/>
  <c r="K35" i="1"/>
  <c r="K33" i="1"/>
  <c r="K31" i="1"/>
  <c r="K29" i="1"/>
  <c r="K14" i="1"/>
  <c r="K15" i="1"/>
  <c r="K11" i="1"/>
  <c r="K12" i="1"/>
  <c r="K8" i="1"/>
  <c r="K9" i="1"/>
  <c r="K5" i="1"/>
  <c r="K6" i="1"/>
  <c r="K41" i="1" l="1"/>
  <c r="J41" i="1" l="1"/>
  <c r="J39" i="1"/>
  <c r="J37" i="1"/>
  <c r="J35" i="1"/>
  <c r="J33" i="1"/>
  <c r="J31" i="1"/>
  <c r="J29" i="1"/>
  <c r="J14" i="1"/>
  <c r="J15" i="1"/>
  <c r="J11" i="1"/>
  <c r="J12" i="1"/>
  <c r="J8" i="1"/>
  <c r="J9" i="1"/>
  <c r="J6" i="1"/>
  <c r="J5" i="1"/>
  <c r="B8" i="3" l="1"/>
  <c r="I8" i="3"/>
  <c r="H8" i="3"/>
  <c r="G8" i="3"/>
  <c r="F8" i="3" l="1"/>
  <c r="F4" i="3"/>
  <c r="P26" i="1" l="1"/>
  <c r="S26" i="1" s="1"/>
  <c r="I41" i="1" l="1"/>
  <c r="I39" i="1"/>
  <c r="I37" i="1"/>
  <c r="I35" i="1"/>
  <c r="I33" i="1"/>
  <c r="I31" i="1"/>
  <c r="I29" i="1"/>
  <c r="I27" i="1"/>
  <c r="I25" i="1"/>
  <c r="I23" i="1"/>
  <c r="I17" i="1"/>
  <c r="I18" i="1"/>
  <c r="I14" i="1"/>
  <c r="I15" i="1"/>
  <c r="I11" i="1"/>
  <c r="I12" i="1"/>
  <c r="I8" i="1"/>
  <c r="I9" i="1"/>
  <c r="I5" i="1"/>
  <c r="I6" i="1"/>
  <c r="S46" i="1" l="1"/>
  <c r="H53" i="1" l="1"/>
  <c r="H51" i="1"/>
  <c r="H49" i="1"/>
  <c r="H47" i="1"/>
  <c r="H41" i="1"/>
  <c r="H39" i="1"/>
  <c r="H37" i="1"/>
  <c r="H35" i="1"/>
  <c r="H33" i="1"/>
  <c r="H31" i="1"/>
  <c r="H29" i="1"/>
  <c r="H27" i="1"/>
  <c r="H25" i="1"/>
  <c r="H23" i="1"/>
  <c r="H21" i="1"/>
  <c r="H17" i="1"/>
  <c r="H18" i="1"/>
  <c r="H14" i="1"/>
  <c r="H15" i="1"/>
  <c r="H11" i="1"/>
  <c r="H12" i="1"/>
  <c r="H8" i="1"/>
  <c r="H9" i="1"/>
  <c r="H6" i="1"/>
  <c r="H5" i="1"/>
  <c r="N3" i="2" l="1"/>
  <c r="B6" i="2"/>
  <c r="G53" i="1" l="1"/>
  <c r="G51" i="1"/>
  <c r="G49" i="1"/>
  <c r="G47" i="1"/>
  <c r="S7" i="1"/>
  <c r="G41" i="1"/>
  <c r="G39" i="1"/>
  <c r="G37" i="1"/>
  <c r="G35" i="1"/>
  <c r="G33" i="1"/>
  <c r="G31" i="1"/>
  <c r="G29" i="1"/>
  <c r="G27" i="1"/>
  <c r="G25" i="1"/>
  <c r="G23" i="1"/>
  <c r="G21" i="1"/>
  <c r="G17" i="1"/>
  <c r="G18" i="1"/>
  <c r="G14" i="1"/>
  <c r="G15" i="1"/>
  <c r="G11" i="1"/>
  <c r="G12" i="1"/>
  <c r="G8" i="1"/>
  <c r="G9" i="1"/>
  <c r="G5" i="1"/>
  <c r="G6" i="1"/>
  <c r="U40" i="1" l="1"/>
  <c r="O40" i="1"/>
  <c r="E41" i="1"/>
  <c r="F41" i="1"/>
  <c r="D41" i="1"/>
  <c r="O39" i="1"/>
  <c r="S40" i="1"/>
  <c r="O41" i="1" l="1"/>
  <c r="E53" i="1" l="1"/>
  <c r="F53" i="1"/>
  <c r="D53" i="1"/>
  <c r="E51" i="1"/>
  <c r="F51" i="1"/>
  <c r="D51" i="1"/>
  <c r="E49" i="1"/>
  <c r="F49" i="1"/>
  <c r="D49" i="1"/>
  <c r="E47" i="1"/>
  <c r="F47" i="1"/>
  <c r="D47" i="1"/>
  <c r="C35" i="1"/>
  <c r="D35" i="1"/>
  <c r="S52" i="1"/>
  <c r="S50" i="1"/>
  <c r="S48" i="1"/>
  <c r="U28" i="1" l="1"/>
  <c r="U7" i="1"/>
  <c r="F39" i="1" l="1"/>
  <c r="F37" i="1"/>
  <c r="F35" i="1"/>
  <c r="F33" i="1"/>
  <c r="F31" i="1"/>
  <c r="F29" i="1"/>
  <c r="F27" i="1"/>
  <c r="F25" i="1"/>
  <c r="F23" i="1"/>
  <c r="F21" i="1"/>
  <c r="F17" i="1"/>
  <c r="F18" i="1"/>
  <c r="F14" i="1"/>
  <c r="F15" i="1"/>
  <c r="F11" i="1"/>
  <c r="F12" i="1"/>
  <c r="F8" i="1"/>
  <c r="F9" i="1"/>
  <c r="F5" i="1"/>
  <c r="F6" i="1"/>
  <c r="E39" i="1" l="1"/>
  <c r="E37" i="1"/>
  <c r="E35" i="1"/>
  <c r="E33" i="1"/>
  <c r="E31" i="1"/>
  <c r="E29" i="1"/>
  <c r="E27" i="1"/>
  <c r="E25" i="1"/>
  <c r="E23" i="1"/>
  <c r="E21" i="1"/>
  <c r="E17" i="1"/>
  <c r="E18" i="1"/>
  <c r="E14" i="1"/>
  <c r="E15" i="1"/>
  <c r="E11" i="1"/>
  <c r="E12" i="1"/>
  <c r="E8" i="1"/>
  <c r="E9" i="1"/>
  <c r="E5" i="1"/>
  <c r="E6" i="1"/>
  <c r="D8" i="3"/>
  <c r="D5" i="3" l="1"/>
  <c r="E8" i="3"/>
  <c r="E5" i="3"/>
  <c r="C5" i="3"/>
  <c r="C23" i="3"/>
  <c r="U32" i="1" l="1"/>
  <c r="L28" i="2" l="1"/>
  <c r="N28" i="2" s="1"/>
  <c r="L27" i="2"/>
  <c r="N27" i="2" s="1"/>
  <c r="N26" i="2"/>
  <c r="L26" i="2"/>
  <c r="L25" i="2"/>
  <c r="N25" i="2" s="1"/>
  <c r="M24" i="2"/>
  <c r="N24" i="2" s="1"/>
  <c r="L24" i="2"/>
  <c r="L23" i="2"/>
  <c r="N23" i="2" s="1"/>
  <c r="M22" i="2"/>
  <c r="O22" i="2" s="1"/>
  <c r="L22" i="2"/>
  <c r="L21" i="2"/>
  <c r="N21" i="2" s="1"/>
  <c r="O20" i="2"/>
  <c r="N20" i="2"/>
  <c r="L20" i="2"/>
  <c r="O19" i="2"/>
  <c r="L19" i="2"/>
  <c r="N19" i="2" s="1"/>
  <c r="L18" i="2"/>
  <c r="N18" i="2" s="1"/>
  <c r="O17" i="2"/>
  <c r="N17" i="2"/>
  <c r="L17" i="2"/>
  <c r="N22" i="2" l="1"/>
  <c r="D28" i="2" l="1"/>
  <c r="D27" i="2"/>
  <c r="D26" i="2"/>
  <c r="D25" i="2"/>
  <c r="C23" i="1" l="1"/>
  <c r="C39" i="1"/>
  <c r="C37" i="1"/>
  <c r="C33" i="1"/>
  <c r="C31" i="1"/>
  <c r="C29" i="1"/>
  <c r="C27" i="1"/>
  <c r="C25" i="1"/>
  <c r="C21" i="1"/>
  <c r="D18" i="1"/>
  <c r="D15" i="1"/>
  <c r="D12" i="1"/>
  <c r="C15" i="1"/>
  <c r="C14" i="1"/>
  <c r="C18" i="1"/>
  <c r="C17" i="1"/>
  <c r="C11" i="1"/>
  <c r="C12" i="1"/>
  <c r="C9" i="1"/>
  <c r="C8" i="1"/>
  <c r="C5" i="1"/>
  <c r="D9" i="1"/>
  <c r="D6" i="1"/>
  <c r="C6" i="1"/>
  <c r="O15" i="1" l="1"/>
  <c r="O6" i="1"/>
  <c r="O18" i="1"/>
  <c r="O12" i="1"/>
  <c r="O9" i="1"/>
  <c r="C26" i="3"/>
  <c r="B3" i="2" l="1"/>
  <c r="C8" i="3" l="1"/>
  <c r="O38" i="1" l="1"/>
  <c r="O36" i="1"/>
  <c r="O34" i="1"/>
  <c r="O32" i="1"/>
  <c r="O30" i="1"/>
  <c r="O28" i="1"/>
  <c r="O26" i="1"/>
  <c r="O24" i="1"/>
  <c r="O20" i="1"/>
  <c r="O13" i="1"/>
  <c r="O10" i="1"/>
  <c r="O7" i="1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6" i="5"/>
  <c r="O13" i="5"/>
  <c r="O11" i="5"/>
  <c r="O9" i="5"/>
  <c r="O7" i="5"/>
  <c r="O5" i="5"/>
  <c r="O6" i="5"/>
  <c r="O8" i="5"/>
  <c r="O10" i="5"/>
  <c r="O12" i="5"/>
  <c r="O17" i="5"/>
  <c r="O15" i="5"/>
  <c r="O4" i="5"/>
  <c r="D39" i="1"/>
  <c r="D37" i="1"/>
  <c r="D33" i="1"/>
  <c r="D21" i="1"/>
  <c r="D23" i="1"/>
  <c r="P4" i="5" l="1"/>
  <c r="N36" i="5" l="1"/>
  <c r="M36" i="5"/>
  <c r="L36" i="5"/>
  <c r="K36" i="5"/>
  <c r="J36" i="5"/>
  <c r="I36" i="5"/>
  <c r="H36" i="5"/>
  <c r="G36" i="5"/>
  <c r="F36" i="5"/>
  <c r="E36" i="5"/>
  <c r="P35" i="5"/>
  <c r="N34" i="5"/>
  <c r="M34" i="5"/>
  <c r="L34" i="5"/>
  <c r="K34" i="5"/>
  <c r="J34" i="5"/>
  <c r="I34" i="5"/>
  <c r="H34" i="5"/>
  <c r="G34" i="5"/>
  <c r="F34" i="5"/>
  <c r="E34" i="5"/>
  <c r="P33" i="5"/>
  <c r="N32" i="5"/>
  <c r="M32" i="5"/>
  <c r="L32" i="5"/>
  <c r="K32" i="5"/>
  <c r="J32" i="5"/>
  <c r="I32" i="5"/>
  <c r="H32" i="5"/>
  <c r="G32" i="5"/>
  <c r="F32" i="5"/>
  <c r="E32" i="5"/>
  <c r="P31" i="5"/>
  <c r="N30" i="5"/>
  <c r="M30" i="5"/>
  <c r="L30" i="5"/>
  <c r="K30" i="5"/>
  <c r="J30" i="5"/>
  <c r="I30" i="5"/>
  <c r="H30" i="5"/>
  <c r="G30" i="5"/>
  <c r="F30" i="5"/>
  <c r="E30" i="5"/>
  <c r="P29" i="5"/>
  <c r="N28" i="5"/>
  <c r="M28" i="5"/>
  <c r="L28" i="5"/>
  <c r="K28" i="5"/>
  <c r="J28" i="5"/>
  <c r="I28" i="5"/>
  <c r="H28" i="5"/>
  <c r="G28" i="5"/>
  <c r="F28" i="5"/>
  <c r="E28" i="5"/>
  <c r="D28" i="5"/>
  <c r="P27" i="5"/>
  <c r="N26" i="5"/>
  <c r="M26" i="5"/>
  <c r="L26" i="5"/>
  <c r="K26" i="5"/>
  <c r="J26" i="5"/>
  <c r="I26" i="5"/>
  <c r="H26" i="5"/>
  <c r="G26" i="5"/>
  <c r="F26" i="5"/>
  <c r="E26" i="5"/>
  <c r="D26" i="5"/>
  <c r="P25" i="5"/>
  <c r="N24" i="5"/>
  <c r="M24" i="5"/>
  <c r="L24" i="5"/>
  <c r="K24" i="5"/>
  <c r="J24" i="5"/>
  <c r="I24" i="5"/>
  <c r="H24" i="5"/>
  <c r="G24" i="5"/>
  <c r="F24" i="5"/>
  <c r="E24" i="5"/>
  <c r="D24" i="5"/>
  <c r="P23" i="5"/>
  <c r="N22" i="5"/>
  <c r="M22" i="5"/>
  <c r="L22" i="5"/>
  <c r="K22" i="5"/>
  <c r="J22" i="5"/>
  <c r="I22" i="5"/>
  <c r="H22" i="5"/>
  <c r="G22" i="5"/>
  <c r="F22" i="5"/>
  <c r="E22" i="5"/>
  <c r="D22" i="5"/>
  <c r="N20" i="5"/>
  <c r="M20" i="5"/>
  <c r="L20" i="5"/>
  <c r="K20" i="5"/>
  <c r="J20" i="5"/>
  <c r="I20" i="5"/>
  <c r="H20" i="5"/>
  <c r="G20" i="5"/>
  <c r="F20" i="5"/>
  <c r="P19" i="5"/>
  <c r="N18" i="5"/>
  <c r="M18" i="5"/>
  <c r="L18" i="5"/>
  <c r="K18" i="5"/>
  <c r="J18" i="5"/>
  <c r="I18" i="5"/>
  <c r="H18" i="5"/>
  <c r="G18" i="5"/>
  <c r="F18" i="5"/>
  <c r="E18" i="5"/>
  <c r="N16" i="5"/>
  <c r="M16" i="5"/>
  <c r="L16" i="5"/>
  <c r="K16" i="5"/>
  <c r="J16" i="5"/>
  <c r="I16" i="5"/>
  <c r="H16" i="5"/>
  <c r="G16" i="5"/>
  <c r="F16" i="5"/>
  <c r="E16" i="5"/>
  <c r="P15" i="5"/>
  <c r="N13" i="5"/>
  <c r="M13" i="5"/>
  <c r="L13" i="5"/>
  <c r="K13" i="5"/>
  <c r="J13" i="5"/>
  <c r="I13" i="5"/>
  <c r="H13" i="5"/>
  <c r="G13" i="5"/>
  <c r="F13" i="5"/>
  <c r="E13" i="5"/>
  <c r="D13" i="5"/>
  <c r="N11" i="5"/>
  <c r="M11" i="5"/>
  <c r="L11" i="5"/>
  <c r="K11" i="5"/>
  <c r="J11" i="5"/>
  <c r="I11" i="5"/>
  <c r="H11" i="5"/>
  <c r="G11" i="5"/>
  <c r="F11" i="5"/>
  <c r="E11" i="5"/>
  <c r="D11" i="5"/>
  <c r="N9" i="5"/>
  <c r="M9" i="5"/>
  <c r="L9" i="5"/>
  <c r="K9" i="5"/>
  <c r="J9" i="5"/>
  <c r="I9" i="5"/>
  <c r="H9" i="5"/>
  <c r="G9" i="5"/>
  <c r="F9" i="5"/>
  <c r="E9" i="5"/>
  <c r="D9" i="5"/>
  <c r="N7" i="5"/>
  <c r="M7" i="5"/>
  <c r="L7" i="5"/>
  <c r="K7" i="5"/>
  <c r="J7" i="5"/>
  <c r="I7" i="5"/>
  <c r="H7" i="5"/>
  <c r="G7" i="5"/>
  <c r="F7" i="5"/>
  <c r="E7" i="5"/>
  <c r="D7" i="5"/>
  <c r="P6" i="5"/>
  <c r="N5" i="5"/>
  <c r="M5" i="5"/>
  <c r="L5" i="5"/>
  <c r="K5" i="5"/>
  <c r="J5" i="5"/>
  <c r="I5" i="5"/>
  <c r="H5" i="5"/>
  <c r="G5" i="5"/>
  <c r="F5" i="5"/>
  <c r="E5" i="5"/>
  <c r="D5" i="5"/>
  <c r="P36" i="1" l="1"/>
  <c r="P38" i="1"/>
  <c r="P34" i="1"/>
  <c r="P32" i="1"/>
  <c r="S32" i="1" s="1"/>
  <c r="P28" i="1"/>
  <c r="S28" i="1" s="1"/>
  <c r="B5" i="3" l="1"/>
  <c r="M6" i="2"/>
  <c r="L6" i="2"/>
  <c r="J6" i="2"/>
  <c r="I6" i="2"/>
  <c r="H6" i="2"/>
  <c r="G6" i="2"/>
  <c r="F6" i="2"/>
  <c r="E6" i="2"/>
  <c r="D6" i="2"/>
  <c r="C6" i="2"/>
  <c r="F3" i="2"/>
  <c r="E3" i="2"/>
  <c r="D3" i="2"/>
  <c r="C3" i="2"/>
  <c r="M3" i="2"/>
  <c r="L3" i="2"/>
  <c r="K3" i="2"/>
  <c r="J3" i="2"/>
  <c r="I3" i="2"/>
  <c r="H3" i="2"/>
  <c r="G3" i="2"/>
  <c r="D31" i="1"/>
  <c r="D29" i="1"/>
  <c r="D27" i="1"/>
  <c r="O27" i="1" s="1"/>
  <c r="D25" i="1"/>
  <c r="O23" i="1"/>
  <c r="O21" i="1"/>
  <c r="D17" i="1"/>
  <c r="D14" i="1"/>
  <c r="O14" i="1" s="1"/>
  <c r="D11" i="1"/>
  <c r="D8" i="1"/>
  <c r="D5" i="1"/>
  <c r="O33" i="1" l="1"/>
  <c r="O25" i="1"/>
  <c r="O35" i="1"/>
  <c r="O37" i="1"/>
  <c r="O29" i="1"/>
  <c r="O31" i="1"/>
  <c r="O17" i="1"/>
  <c r="O11" i="1"/>
  <c r="O8" i="1"/>
  <c r="O5" i="1"/>
</calcChain>
</file>

<file path=xl/sharedStrings.xml><?xml version="1.0" encoding="utf-8"?>
<sst xmlns="http://schemas.openxmlformats.org/spreadsheetml/2006/main" count="288" uniqueCount="128">
  <si>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</si>
  <si>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</si>
  <si>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</si>
  <si>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</si>
  <si>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</si>
  <si>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</si>
  <si>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</si>
  <si>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</si>
  <si>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</si>
  <si>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</si>
  <si>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</si>
  <si>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</si>
  <si>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Users</t>
  </si>
  <si>
    <t>Visits</t>
  </si>
  <si>
    <t>Stats</t>
  </si>
  <si>
    <t>Total</t>
  </si>
  <si>
    <t>Total %</t>
  </si>
  <si>
    <t>% M-1</t>
  </si>
  <si>
    <t>% Y-1</t>
  </si>
  <si>
    <t>Traffic</t>
  </si>
  <si>
    <t>Bounce Rate</t>
  </si>
  <si>
    <t>Pages/Session</t>
  </si>
  <si>
    <t>YTD (Average)</t>
  </si>
  <si>
    <t>Avg.Session Duration</t>
  </si>
  <si>
    <t>Goals</t>
  </si>
  <si>
    <t>Transaction</t>
  </si>
  <si>
    <t>Total Abandonment Rate</t>
  </si>
  <si>
    <t>Goal 1: Transcation Completed</t>
  </si>
  <si>
    <t>Goal 2 : Brochure Request</t>
  </si>
  <si>
    <t>Goal 3 : Newsletter sign up</t>
  </si>
  <si>
    <t>Goal 4 : Contact Request</t>
  </si>
  <si>
    <t>Goal 5 : Book a tour</t>
  </si>
  <si>
    <t>Goal 6 : New Account</t>
  </si>
  <si>
    <t>Ecommerce Conversion Rate</t>
  </si>
  <si>
    <t>Goal 7: Add to schoolbag</t>
  </si>
  <si>
    <t>Subscribers</t>
  </si>
  <si>
    <t>Opening rate</t>
  </si>
  <si>
    <t>Opening</t>
  </si>
  <si>
    <t>Click-trough</t>
  </si>
  <si>
    <t>CTR</t>
  </si>
  <si>
    <t>Brochures</t>
  </si>
  <si>
    <t>Tour</t>
  </si>
  <si>
    <t>Enrolment</t>
  </si>
  <si>
    <t>Literature ID/Campaign id</t>
  </si>
  <si>
    <t xml:space="preserve">Date </t>
  </si>
  <si>
    <t>Revenue (€)</t>
  </si>
  <si>
    <t>TOTAL</t>
  </si>
  <si>
    <t>Application</t>
  </si>
  <si>
    <t>Brochure</t>
  </si>
  <si>
    <t>Contact</t>
  </si>
  <si>
    <t>unsubscribe</t>
  </si>
  <si>
    <t>Obectifs 2017</t>
  </si>
  <si>
    <t>% objectifs</t>
  </si>
  <si>
    <t>Objectif 2017</t>
  </si>
  <si>
    <t>2017 02 Ateliers</t>
  </si>
  <si>
    <t>2017 01 Ateliers</t>
  </si>
  <si>
    <t>2017 02 HEG Bourse</t>
  </si>
  <si>
    <t>Goal 1: Transaction Completed</t>
  </si>
  <si>
    <t>2017 03 Ateliers</t>
  </si>
  <si>
    <t>% goals</t>
  </si>
  <si>
    <t>Newsletter conversions &amp; subscriptions</t>
  </si>
  <si>
    <t>Months</t>
  </si>
  <si>
    <t>Clicks</t>
  </si>
  <si>
    <t xml:space="preserve">Brochure </t>
  </si>
  <si>
    <t>Visit/event</t>
  </si>
  <si>
    <t>Subscription / Enrolment</t>
  </si>
  <si>
    <t>CF statistiques 2016</t>
  </si>
  <si>
    <t>Subscription</t>
  </si>
  <si>
    <t>N/A</t>
  </si>
  <si>
    <t>moyenne taux ouverture : 14,77</t>
  </si>
  <si>
    <t>moyenne taux clic : 29,57</t>
  </si>
  <si>
    <t>2017 04 Ateliers</t>
  </si>
  <si>
    <t xml:space="preserve">2017 04 SALES Relance Masterstudies </t>
  </si>
  <si>
    <t xml:space="preserve">2017 01 Prospects </t>
  </si>
  <si>
    <t>3,6 mini</t>
  </si>
  <si>
    <t>3 minutes mini</t>
  </si>
  <si>
    <t>moyenne par mois</t>
  </si>
  <si>
    <t>Facebook Fans</t>
  </si>
  <si>
    <t>Twitter followers</t>
  </si>
  <si>
    <t>Instagram followers</t>
  </si>
  <si>
    <t>Goals web</t>
  </si>
  <si>
    <t>Goals social</t>
  </si>
  <si>
    <t>LinkedIn followers</t>
  </si>
  <si>
    <t>Fans</t>
  </si>
  <si>
    <t>Followers</t>
  </si>
  <si>
    <t>Traffic web</t>
  </si>
  <si>
    <t>% M-2</t>
  </si>
  <si>
    <t>Newsletter subscribers</t>
  </si>
  <si>
    <t xml:space="preserve">2017 05 Ateliers </t>
  </si>
  <si>
    <t xml:space="preserve">2017 06 Ateliers </t>
  </si>
  <si>
    <t xml:space="preserve">2017 07 Ateliers </t>
  </si>
  <si>
    <t xml:space="preserve">2017 08 Ateliers </t>
  </si>
  <si>
    <t>L’Atelier des Amoureux du 11 février</t>
  </si>
  <si>
    <t>Cours des modules à l’unité - champagne</t>
  </si>
  <si>
    <t>Boulangerie 2 J 06 et 07 avril</t>
  </si>
  <si>
    <t xml:space="preserve">Voyage Vignoble – Champagne 22 avril </t>
  </si>
  <si>
    <t>Visite des Vignobles du Val de Loire</t>
  </si>
  <si>
    <t>Visite des Vignobles de Champagne</t>
  </si>
  <si>
    <t>L’Art des Sauces et des Jus</t>
  </si>
  <si>
    <t>Initiation aux Vins et Spiritueux</t>
  </si>
  <si>
    <t xml:space="preserve">Cordon Vert, Cuisine Végétarienne du 28 janvier </t>
  </si>
  <si>
    <t>Cordon Vert du 11/02</t>
  </si>
  <si>
    <t>Mon Premier Œuf de Pâques 8 avril</t>
  </si>
  <si>
    <t xml:space="preserve">Modules vins à l’unité à partir du 18 avril </t>
  </si>
  <si>
    <t>Mes Premiers Chocolats</t>
  </si>
  <si>
    <t>L'Atelier du Pain</t>
  </si>
  <si>
    <t>Cours intensif d’œnologie à Paris</t>
  </si>
  <si>
    <t>La Boulangerie Traditionnelle 2 jours des 17 et 18 février</t>
  </si>
  <si>
    <t>L’École de la Pâtisserie du 10 mars</t>
  </si>
  <si>
    <t xml:space="preserve">Voyage Champagne 22 avril </t>
  </si>
  <si>
    <t xml:space="preserve">financiers du 12 mai </t>
  </si>
  <si>
    <t>Cordon Vert, Cuisine Végétarienne</t>
  </si>
  <si>
    <t>Accords Mets et Vins</t>
  </si>
  <si>
    <t xml:space="preserve">Les Secrets des Éclairs </t>
  </si>
  <si>
    <t>Les soirées dégustations : autour du vin</t>
  </si>
  <si>
    <t>Produits</t>
  </si>
  <si>
    <t>48% max</t>
  </si>
  <si>
    <t xml:space="preserve">2017 09 Ateliers </t>
  </si>
  <si>
    <t xml:space="preserve">2017 10 Ateliers </t>
  </si>
  <si>
    <t xml:space="preserve">2017 11 Ateliers </t>
  </si>
  <si>
    <t xml:space="preserve">2017 12 Ateliers </t>
  </si>
  <si>
    <t>L’Art de la Cuisine Française - La Bretagne</t>
  </si>
  <si>
    <t>Module Vin - 1 cours du soir</t>
  </si>
  <si>
    <t xml:space="preserve">2017 09 SALES alumni du Brésil </t>
  </si>
  <si>
    <t xml:space="preserve">2017 09 SALES USA one-on-one meetings </t>
  </si>
  <si>
    <t xml:space="preserve">2017 05 SALES Portugal </t>
  </si>
  <si>
    <t xml:space="preserve">2017 05 SALES Taiwan Yuanpei School Students visit LCBP </t>
  </si>
  <si>
    <t xml:space="preserve">2017 02 SALES USA one-on-one meetings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</si>
</sst>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#,##0\ &quot;€&quot;;\-#,##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&quot;€&quot;_-;\-* #,##0\ &quot;€&quot;_-;_-* &quot;-&quot;??\ &quot;€&quot;_-;_-@_-"/>
    <numFmt numFmtId="165" formatCode="0.0"/>
    <numFmt numFmtId="166" formatCode="0.0%"/>
    <numFmt numFmtId="167" formatCode="[$-409]mmm\-yy;@"/>
    <numFmt numFmtId="168" formatCode="_-* #,##0\ _€_-;\-* #,##0\ _€_-;_-* &quot;-&quot;??\ _€_-;_-@_-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42">
    <xf numFmtId="0" fontId="0" fillId="0" borderId="0" xfId="0"/>
    <xf numFmtId="0" fontId="10" fillId="0" borderId="3" xfId="0" applyFont="1" applyBorder="1" applyAlignment="1">
      <alignment horizontal="center"/>
    </xf>
    <xf numFmtId="0" fontId="0" fillId="0" borderId="5" xfId="0" applyBorder="1"/>
    <xf numFmtId="9" fontId="0" fillId="0" borderId="5" xfId="0" applyNumberFormat="1" applyBorder="1"/>
    <xf numFmtId="0" fontId="0" fillId="0" borderId="5" xfId="0" applyFill="1" applyBorder="1"/>
    <xf numFmtId="9" fontId="0" fillId="0" borderId="5" xfId="0" applyNumberFormat="1" applyBorder="1" applyAlignment="1">
      <alignment horizontal="center"/>
    </xf>
    <xf numFmtId="0" fontId="12" fillId="2" borderId="5" xfId="0" applyFont="1" applyFill="1" applyBorder="1"/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1" fillId="2" borderId="5" xfId="0" applyFont="1" applyFill="1" applyBorder="1"/>
    <xf numFmtId="0" fontId="11" fillId="2" borderId="5" xfId="0" applyNumberFormat="1" applyFont="1" applyFill="1" applyBorder="1"/>
    <xf numFmtId="0" fontId="13" fillId="0" borderId="5" xfId="0" applyFont="1" applyFill="1" applyBorder="1" applyAlignment="1">
      <alignment horizont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3" fontId="0" fillId="0" borderId="0" xfId="0" applyNumberForma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/>
    <xf numFmtId="10" fontId="0" fillId="0" borderId="0" xfId="0" applyNumberFormat="1" applyFill="1" applyBorder="1"/>
    <xf numFmtId="9" fontId="0" fillId="0" borderId="0" xfId="0" applyNumberFormat="1" applyFill="1" applyBorder="1"/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vertical="center" wrapText="1"/>
    </xf>
    <xf numFmtId="9" fontId="0" fillId="0" borderId="0" xfId="0" applyNumberFormat="1" applyFill="1" applyBorder="1" applyAlignment="1">
      <alignment vertical="center" wrapText="1"/>
    </xf>
    <xf numFmtId="0" fontId="1" fillId="4" borderId="6" xfId="0" applyFont="1" applyFill="1" applyBorder="1"/>
    <xf numFmtId="0" fontId="3" fillId="4" borderId="6" xfId="0" applyFont="1" applyFill="1" applyBorder="1"/>
    <xf numFmtId="0" fontId="0" fillId="0" borderId="1" xfId="0" applyFill="1" applyBorder="1"/>
    <xf numFmtId="10" fontId="7" fillId="0" borderId="1" xfId="0" applyNumberFormat="1" applyFont="1" applyFill="1" applyBorder="1"/>
    <xf numFmtId="10" fontId="4" fillId="0" borderId="1" xfId="0" applyNumberFormat="1" applyFont="1" applyFill="1" applyBorder="1"/>
    <xf numFmtId="0" fontId="1" fillId="4" borderId="1" xfId="0" applyFont="1" applyFill="1" applyBorder="1" applyAlignment="1">
      <alignment horizontal="left"/>
    </xf>
    <xf numFmtId="10" fontId="0" fillId="0" borderId="1" xfId="0" applyNumberFormat="1" applyFill="1" applyBorder="1"/>
    <xf numFmtId="0" fontId="3" fillId="4" borderId="1" xfId="0" applyFont="1" applyFill="1" applyBorder="1"/>
    <xf numFmtId="10" fontId="5" fillId="0" borderId="1" xfId="0" applyNumberFormat="1" applyFont="1" applyFill="1" applyBorder="1"/>
    <xf numFmtId="0" fontId="0" fillId="0" borderId="1" xfId="0" applyFill="1" applyBorder="1" applyAlignment="1">
      <alignment vertical="center" wrapText="1"/>
    </xf>
    <xf numFmtId="0" fontId="4" fillId="0" borderId="1" xfId="0" applyNumberFormat="1" applyFont="1" applyFill="1" applyBorder="1"/>
    <xf numFmtId="10" fontId="4" fillId="0" borderId="1" xfId="0" applyNumberFormat="1" applyFont="1" applyFill="1" applyBorder="1" applyAlignment="1">
      <alignment vertical="center" wrapText="1"/>
    </xf>
    <xf numFmtId="10" fontId="7" fillId="0" borderId="1" xfId="0" applyNumberFormat="1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3" fontId="2" fillId="0" borderId="9" xfId="0" applyNumberFormat="1" applyFont="1" applyFill="1" applyBorder="1" applyAlignment="1">
      <alignment horizontal="center"/>
    </xf>
    <xf numFmtId="10" fontId="6" fillId="0" borderId="10" xfId="0" applyNumberFormat="1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9" fontId="2" fillId="0" borderId="9" xfId="0" applyNumberFormat="1" applyFont="1" applyFill="1" applyBorder="1" applyAlignment="1">
      <alignment horizontal="center"/>
    </xf>
    <xf numFmtId="10" fontId="8" fillId="0" borderId="10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10" fontId="9" fillId="0" borderId="10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164" fontId="2" fillId="0" borderId="9" xfId="1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3" fontId="2" fillId="0" borderId="13" xfId="0" applyNumberFormat="1" applyFont="1" applyFill="1" applyBorder="1" applyAlignment="1">
      <alignment horizontal="center"/>
    </xf>
    <xf numFmtId="10" fontId="6" fillId="0" borderId="14" xfId="0" applyNumberFormat="1" applyFont="1" applyFill="1" applyBorder="1" applyAlignment="1">
      <alignment horizontal="center"/>
    </xf>
    <xf numFmtId="10" fontId="2" fillId="0" borderId="13" xfId="0" applyNumberFormat="1" applyFont="1" applyFill="1" applyBorder="1" applyAlignment="1">
      <alignment horizontal="center"/>
    </xf>
    <xf numFmtId="9" fontId="2" fillId="0" borderId="13" xfId="0" applyNumberFormat="1" applyFont="1" applyFill="1" applyBorder="1" applyAlignment="1">
      <alignment horizontal="center"/>
    </xf>
    <xf numFmtId="10" fontId="8" fillId="0" borderId="14" xfId="0" applyNumberFormat="1" applyFont="1" applyFill="1" applyBorder="1" applyAlignment="1">
      <alignment horizontal="center"/>
    </xf>
    <xf numFmtId="2" fontId="2" fillId="0" borderId="13" xfId="0" applyNumberFormat="1" applyFont="1" applyFill="1" applyBorder="1" applyAlignment="1">
      <alignment horizontal="center"/>
    </xf>
    <xf numFmtId="10" fontId="9" fillId="0" borderId="14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164" fontId="2" fillId="0" borderId="13" xfId="1" applyNumberFormat="1" applyFont="1" applyFill="1" applyBorder="1" applyAlignment="1">
      <alignment horizontal="center"/>
    </xf>
    <xf numFmtId="1" fontId="0" fillId="0" borderId="0" xfId="0" applyNumberFormat="1" applyFill="1" applyBorder="1"/>
    <xf numFmtId="1" fontId="0" fillId="0" borderId="0" xfId="0" applyNumberFormat="1" applyFill="1" applyBorder="1" applyAlignment="1">
      <alignment vertical="center" wrapText="1"/>
    </xf>
    <xf numFmtId="5" fontId="0" fillId="0" borderId="0" xfId="1" applyNumberFormat="1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1" fillId="4" borderId="1" xfId="0" applyFont="1" applyFill="1" applyBorder="1"/>
    <xf numFmtId="0" fontId="1" fillId="3" borderId="0" xfId="0" applyFont="1" applyFill="1" applyAlignment="1">
      <alignment horizontal="center"/>
    </xf>
    <xf numFmtId="10" fontId="0" fillId="0" borderId="5" xfId="0" applyNumberFormat="1" applyBorder="1"/>
    <xf numFmtId="1" fontId="0" fillId="0" borderId="5" xfId="2" applyNumberFormat="1" applyFont="1" applyBorder="1"/>
    <xf numFmtId="14" fontId="0" fillId="0" borderId="5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Fill="1" applyBorder="1"/>
    <xf numFmtId="2" fontId="2" fillId="0" borderId="9" xfId="0" applyNumberFormat="1" applyFont="1" applyFill="1" applyBorder="1" applyAlignment="1">
      <alignment horizontal="center"/>
    </xf>
    <xf numFmtId="0" fontId="2" fillId="0" borderId="17" xfId="0" applyFont="1" applyFill="1" applyBorder="1"/>
    <xf numFmtId="10" fontId="17" fillId="0" borderId="17" xfId="0" applyNumberFormat="1" applyFont="1" applyFill="1" applyBorder="1"/>
    <xf numFmtId="10" fontId="15" fillId="0" borderId="17" xfId="0" applyNumberFormat="1" applyFont="1" applyFill="1" applyBorder="1"/>
    <xf numFmtId="10" fontId="16" fillId="0" borderId="17" xfId="0" applyNumberFormat="1" applyFont="1" applyFill="1" applyBorder="1" applyAlignment="1">
      <alignment horizontal="center"/>
    </xf>
    <xf numFmtId="10" fontId="18" fillId="0" borderId="17" xfId="0" applyNumberFormat="1" applyFont="1" applyFill="1" applyBorder="1"/>
    <xf numFmtId="10" fontId="18" fillId="0" borderId="17" xfId="0" applyNumberFormat="1" applyFont="1" applyFill="1" applyBorder="1" applyAlignment="1">
      <alignment vertical="center" wrapText="1"/>
    </xf>
    <xf numFmtId="10" fontId="15" fillId="0" borderId="17" xfId="0" applyNumberFormat="1" applyFont="1" applyFill="1" applyBorder="1" applyAlignment="1">
      <alignment vertical="center" wrapText="1"/>
    </xf>
    <xf numFmtId="10" fontId="17" fillId="0" borderId="17" xfId="0" applyNumberFormat="1" applyFont="1" applyFill="1" applyBorder="1" applyAlignment="1">
      <alignment vertical="center" wrapText="1"/>
    </xf>
    <xf numFmtId="0" fontId="2" fillId="0" borderId="19" xfId="0" applyFont="1" applyFill="1" applyBorder="1"/>
    <xf numFmtId="3" fontId="0" fillId="0" borderId="19" xfId="0" applyNumberFormat="1" applyFill="1" applyBorder="1" applyAlignment="1">
      <alignment vertical="center" wrapText="1"/>
    </xf>
    <xf numFmtId="3" fontId="2" fillId="0" borderId="19" xfId="0" applyNumberFormat="1" applyFont="1" applyFill="1" applyBorder="1" applyAlignment="1">
      <alignment horizontal="center"/>
    </xf>
    <xf numFmtId="0" fontId="0" fillId="0" borderId="19" xfId="0" applyFill="1" applyBorder="1"/>
    <xf numFmtId="9" fontId="2" fillId="0" borderId="20" xfId="2" applyFont="1" applyFill="1" applyBorder="1" applyAlignment="1">
      <alignment horizontal="center"/>
    </xf>
    <xf numFmtId="9" fontId="6" fillId="0" borderId="22" xfId="2" applyFont="1" applyFill="1" applyBorder="1" applyAlignment="1">
      <alignment horizontal="center"/>
    </xf>
    <xf numFmtId="0" fontId="2" fillId="0" borderId="24" xfId="0" applyFont="1" applyFill="1" applyBorder="1"/>
    <xf numFmtId="10" fontId="16" fillId="0" borderId="24" xfId="0" applyNumberFormat="1" applyFont="1" applyFill="1" applyBorder="1" applyAlignment="1">
      <alignment horizontal="center"/>
    </xf>
    <xf numFmtId="3" fontId="15" fillId="0" borderId="19" xfId="0" applyNumberFormat="1" applyFont="1" applyFill="1" applyBorder="1" applyAlignment="1">
      <alignment vertical="center" wrapText="1"/>
    </xf>
    <xf numFmtId="3" fontId="16" fillId="0" borderId="19" xfId="0" applyNumberFormat="1" applyFont="1" applyFill="1" applyBorder="1" applyAlignment="1">
      <alignment horizontal="center"/>
    </xf>
    <xf numFmtId="9" fontId="15" fillId="0" borderId="19" xfId="0" applyNumberFormat="1" applyFont="1" applyFill="1" applyBorder="1"/>
    <xf numFmtId="9" fontId="16" fillId="0" borderId="19" xfId="0" applyNumberFormat="1" applyFont="1" applyFill="1" applyBorder="1" applyAlignment="1">
      <alignment horizontal="center"/>
    </xf>
    <xf numFmtId="9" fontId="8" fillId="0" borderId="22" xfId="2" applyFont="1" applyFill="1" applyBorder="1" applyAlignment="1">
      <alignment horizontal="center"/>
    </xf>
    <xf numFmtId="0" fontId="0" fillId="0" borderId="19" xfId="0" applyFill="1" applyBorder="1" applyAlignment="1">
      <alignment vertical="center" wrapText="1"/>
    </xf>
    <xf numFmtId="0" fontId="15" fillId="0" borderId="19" xfId="0" applyFont="1" applyFill="1" applyBorder="1" applyAlignment="1">
      <alignment vertical="center" wrapText="1"/>
    </xf>
    <xf numFmtId="2" fontId="0" fillId="0" borderId="19" xfId="0" applyNumberFormat="1" applyFill="1" applyBorder="1" applyAlignment="1">
      <alignment vertical="center" wrapText="1"/>
    </xf>
    <xf numFmtId="2" fontId="15" fillId="0" borderId="19" xfId="0" applyNumberFormat="1" applyFont="1" applyFill="1" applyBorder="1" applyAlignment="1">
      <alignment vertical="center" wrapText="1"/>
    </xf>
    <xf numFmtId="2" fontId="16" fillId="0" borderId="19" xfId="0" applyNumberFormat="1" applyFont="1" applyFill="1" applyBorder="1" applyAlignment="1">
      <alignment horizontal="center"/>
    </xf>
    <xf numFmtId="9" fontId="9" fillId="0" borderId="22" xfId="2" applyFont="1" applyFill="1" applyBorder="1" applyAlignment="1">
      <alignment horizontal="center"/>
    </xf>
    <xf numFmtId="9" fontId="9" fillId="0" borderId="25" xfId="2" applyFont="1" applyFill="1" applyBorder="1" applyAlignment="1">
      <alignment horizontal="center"/>
    </xf>
    <xf numFmtId="0" fontId="1" fillId="4" borderId="27" xfId="0" applyFont="1" applyFill="1" applyBorder="1"/>
    <xf numFmtId="0" fontId="3" fillId="4" borderId="27" xfId="0" applyFont="1" applyFill="1" applyBorder="1"/>
    <xf numFmtId="0" fontId="15" fillId="4" borderId="27" xfId="0" applyFont="1" applyFill="1" applyBorder="1"/>
    <xf numFmtId="0" fontId="16" fillId="4" borderId="27" xfId="0" applyFont="1" applyFill="1" applyBorder="1" applyAlignment="1">
      <alignment horizontal="center"/>
    </xf>
    <xf numFmtId="10" fontId="0" fillId="0" borderId="19" xfId="0" applyNumberFormat="1" applyFill="1" applyBorder="1"/>
    <xf numFmtId="10" fontId="15" fillId="0" borderId="19" xfId="0" applyNumberFormat="1" applyFont="1" applyFill="1" applyBorder="1"/>
    <xf numFmtId="10" fontId="16" fillId="0" borderId="19" xfId="0" applyNumberFormat="1" applyFont="1" applyFill="1" applyBorder="1" applyAlignment="1">
      <alignment horizontal="center"/>
    </xf>
    <xf numFmtId="10" fontId="2" fillId="0" borderId="20" xfId="0" applyNumberFormat="1" applyFont="1" applyFill="1" applyBorder="1" applyAlignment="1">
      <alignment horizontal="center"/>
    </xf>
    <xf numFmtId="10" fontId="9" fillId="0" borderId="22" xfId="0" applyNumberFormat="1" applyFont="1" applyFill="1" applyBorder="1" applyAlignment="1">
      <alignment horizontal="center"/>
    </xf>
    <xf numFmtId="10" fontId="9" fillId="0" borderId="25" xfId="0" applyNumberFormat="1" applyFont="1" applyFill="1" applyBorder="1" applyAlignment="1">
      <alignment horizontal="center"/>
    </xf>
    <xf numFmtId="3" fontId="2" fillId="0" borderId="20" xfId="0" applyNumberFormat="1" applyFont="1" applyFill="1" applyBorder="1" applyAlignment="1">
      <alignment horizontal="center"/>
    </xf>
    <xf numFmtId="10" fontId="6" fillId="0" borderId="22" xfId="0" applyNumberFormat="1" applyFont="1" applyFill="1" applyBorder="1" applyAlignment="1">
      <alignment horizontal="center"/>
    </xf>
    <xf numFmtId="10" fontId="6" fillId="0" borderId="25" xfId="0" applyNumberFormat="1" applyFont="1" applyFill="1" applyBorder="1" applyAlignment="1">
      <alignment horizontal="center"/>
    </xf>
    <xf numFmtId="9" fontId="2" fillId="0" borderId="20" xfId="0" applyNumberFormat="1" applyFont="1" applyFill="1" applyBorder="1" applyAlignment="1">
      <alignment horizontal="center"/>
    </xf>
    <xf numFmtId="10" fontId="8" fillId="0" borderId="22" xfId="0" applyNumberFormat="1" applyFont="1" applyFill="1" applyBorder="1" applyAlignment="1">
      <alignment horizontal="center"/>
    </xf>
    <xf numFmtId="10" fontId="8" fillId="0" borderId="25" xfId="0" applyNumberFormat="1" applyFont="1" applyFill="1" applyBorder="1" applyAlignment="1">
      <alignment horizontal="center"/>
    </xf>
    <xf numFmtId="2" fontId="2" fillId="0" borderId="20" xfId="0" applyNumberFormat="1" applyFont="1" applyFill="1" applyBorder="1" applyAlignment="1">
      <alignment horizontal="center"/>
    </xf>
    <xf numFmtId="5" fontId="0" fillId="0" borderId="19" xfId="1" applyNumberFormat="1" applyFont="1" applyFill="1" applyBorder="1"/>
    <xf numFmtId="5" fontId="15" fillId="0" borderId="19" xfId="1" applyNumberFormat="1" applyFont="1" applyFill="1" applyBorder="1"/>
    <xf numFmtId="164" fontId="16" fillId="0" borderId="19" xfId="1" applyNumberFormat="1" applyFont="1" applyFill="1" applyBorder="1" applyAlignment="1">
      <alignment horizontal="center"/>
    </xf>
    <xf numFmtId="164" fontId="2" fillId="0" borderId="20" xfId="1" applyNumberFormat="1" applyFont="1" applyFill="1" applyBorder="1" applyAlignment="1">
      <alignment horizontal="center"/>
    </xf>
    <xf numFmtId="1" fontId="0" fillId="0" borderId="19" xfId="0" applyNumberFormat="1" applyFill="1" applyBorder="1"/>
    <xf numFmtId="1" fontId="15" fillId="0" borderId="19" xfId="0" applyNumberFormat="1" applyFont="1" applyFill="1" applyBorder="1" applyAlignment="1">
      <alignment vertical="center" wrapText="1"/>
    </xf>
    <xf numFmtId="1" fontId="15" fillId="0" borderId="19" xfId="0" applyNumberFormat="1" applyFont="1" applyFill="1" applyBorder="1"/>
    <xf numFmtId="0" fontId="2" fillId="0" borderId="20" xfId="0" applyFont="1" applyFill="1" applyBorder="1" applyAlignment="1">
      <alignment horizontal="center"/>
    </xf>
    <xf numFmtId="10" fontId="17" fillId="0" borderId="24" xfId="0" applyNumberFormat="1" applyFont="1" applyFill="1" applyBorder="1" applyAlignment="1">
      <alignment vertical="center" wrapText="1"/>
    </xf>
    <xf numFmtId="0" fontId="15" fillId="0" borderId="19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3" fontId="2" fillId="0" borderId="21" xfId="0" applyNumberFormat="1" applyFont="1" applyFill="1" applyBorder="1" applyAlignment="1">
      <alignment horizontal="center"/>
    </xf>
    <xf numFmtId="9" fontId="2" fillId="0" borderId="22" xfId="2" applyFont="1" applyFill="1" applyBorder="1" applyAlignment="1">
      <alignment horizontal="center"/>
    </xf>
    <xf numFmtId="10" fontId="6" fillId="0" borderId="21" xfId="0" applyNumberFormat="1" applyFont="1" applyFill="1" applyBorder="1" applyAlignment="1">
      <alignment horizontal="center"/>
    </xf>
    <xf numFmtId="9" fontId="2" fillId="0" borderId="21" xfId="0" applyNumberFormat="1" applyFont="1" applyFill="1" applyBorder="1" applyAlignment="1">
      <alignment horizontal="center"/>
    </xf>
    <xf numFmtId="10" fontId="8" fillId="0" borderId="21" xfId="0" applyNumberFormat="1" applyFont="1" applyFill="1" applyBorder="1" applyAlignment="1">
      <alignment horizontal="center"/>
    </xf>
    <xf numFmtId="165" fontId="2" fillId="0" borderId="21" xfId="0" applyNumberFormat="1" applyFont="1" applyFill="1" applyBorder="1" applyAlignment="1">
      <alignment horizontal="center"/>
    </xf>
    <xf numFmtId="10" fontId="9" fillId="0" borderId="21" xfId="0" applyNumberFormat="1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9" fontId="1" fillId="4" borderId="31" xfId="2" applyFont="1" applyFill="1" applyBorder="1" applyAlignment="1">
      <alignment horizontal="center"/>
    </xf>
    <xf numFmtId="10" fontId="2" fillId="0" borderId="21" xfId="0" applyNumberFormat="1" applyFont="1" applyFill="1" applyBorder="1" applyAlignment="1">
      <alignment horizontal="center"/>
    </xf>
    <xf numFmtId="164" fontId="2" fillId="0" borderId="21" xfId="1" applyNumberFormat="1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166" fontId="2" fillId="0" borderId="22" xfId="2" applyNumberFormat="1" applyFont="1" applyFill="1" applyBorder="1" applyAlignment="1">
      <alignment horizontal="center"/>
    </xf>
    <xf numFmtId="10" fontId="9" fillId="0" borderId="23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3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9" fillId="4" borderId="29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 wrapText="1"/>
    </xf>
    <xf numFmtId="9" fontId="18" fillId="0" borderId="26" xfId="2" applyFont="1" applyFill="1" applyBorder="1"/>
    <xf numFmtId="9" fontId="18" fillId="0" borderId="24" xfId="2" applyFont="1" applyFill="1" applyBorder="1"/>
    <xf numFmtId="9" fontId="18" fillId="0" borderId="17" xfId="2" applyFont="1" applyFill="1" applyBorder="1"/>
    <xf numFmtId="9" fontId="17" fillId="0" borderId="24" xfId="2" applyFont="1" applyFill="1" applyBorder="1"/>
    <xf numFmtId="9" fontId="17" fillId="0" borderId="17" xfId="2" applyFont="1" applyFill="1" applyBorder="1"/>
    <xf numFmtId="20" fontId="8" fillId="0" borderId="22" xfId="2" applyNumberFormat="1" applyFont="1" applyFill="1" applyBorder="1" applyAlignment="1">
      <alignment horizontal="center"/>
    </xf>
    <xf numFmtId="9" fontId="15" fillId="0" borderId="26" xfId="2" applyFont="1" applyFill="1" applyBorder="1"/>
    <xf numFmtId="3" fontId="2" fillId="0" borderId="18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left"/>
    </xf>
    <xf numFmtId="167" fontId="0" fillId="0" borderId="0" xfId="0" applyNumberFormat="1"/>
    <xf numFmtId="10" fontId="0" fillId="0" borderId="0" xfId="2" applyNumberFormat="1" applyFont="1"/>
    <xf numFmtId="0" fontId="15" fillId="0" borderId="0" xfId="0" applyFont="1" applyFill="1"/>
    <xf numFmtId="1" fontId="15" fillId="0" borderId="0" xfId="0" applyNumberFormat="1" applyFont="1" applyFill="1"/>
    <xf numFmtId="0" fontId="0" fillId="0" borderId="0" xfId="0" applyAlignment="1">
      <alignment horizontal="center" wrapText="1"/>
    </xf>
    <xf numFmtId="0" fontId="15" fillId="0" borderId="0" xfId="0" applyFont="1" applyFill="1" applyAlignment="1">
      <alignment horizontal="right"/>
    </xf>
    <xf numFmtId="1" fontId="0" fillId="0" borderId="0" xfId="2" applyNumberFormat="1" applyFont="1"/>
    <xf numFmtId="1" fontId="0" fillId="0" borderId="0" xfId="0" applyNumberFormat="1"/>
    <xf numFmtId="0" fontId="15" fillId="0" borderId="0" xfId="0" applyNumberFormat="1" applyFont="1" applyFill="1"/>
    <xf numFmtId="10" fontId="0" fillId="0" borderId="0" xfId="2" applyNumberFormat="1" applyFont="1" applyFill="1"/>
    <xf numFmtId="2" fontId="0" fillId="0" borderId="0" xfId="0" applyNumberFormat="1"/>
    <xf numFmtId="166" fontId="0" fillId="0" borderId="5" xfId="0" applyNumberFormat="1" applyBorder="1" applyAlignment="1">
      <alignment horizontal="center"/>
    </xf>
    <xf numFmtId="9" fontId="15" fillId="0" borderId="24" xfId="2" applyFont="1" applyFill="1" applyBorder="1"/>
    <xf numFmtId="10" fontId="18" fillId="0" borderId="24" xfId="0" applyNumberFormat="1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2" fillId="0" borderId="21" xfId="0" applyNumberFormat="1" applyFont="1" applyFill="1" applyBorder="1" applyAlignment="1">
      <alignment horizontal="left"/>
    </xf>
    <xf numFmtId="1" fontId="2" fillId="0" borderId="20" xfId="0" applyNumberFormat="1" applyFont="1" applyFill="1" applyBorder="1" applyAlignment="1">
      <alignment horizontal="center"/>
    </xf>
    <xf numFmtId="0" fontId="15" fillId="0" borderId="0" xfId="0" applyFont="1" applyFill="1" applyBorder="1"/>
    <xf numFmtId="0" fontId="21" fillId="0" borderId="0" xfId="0" applyFont="1" applyFill="1" applyBorder="1" applyAlignment="1">
      <alignment horizontal="left" vertical="center" wrapText="1"/>
    </xf>
    <xf numFmtId="9" fontId="18" fillId="0" borderId="0" xfId="2" applyFont="1" applyFill="1" applyBorder="1"/>
    <xf numFmtId="10" fontId="17" fillId="0" borderId="0" xfId="0" applyNumberFormat="1" applyFont="1" applyFill="1" applyBorder="1" applyAlignment="1">
      <alignment vertical="center" wrapText="1"/>
    </xf>
    <xf numFmtId="10" fontId="18" fillId="0" borderId="0" xfId="0" applyNumberFormat="1" applyFont="1" applyFill="1" applyBorder="1" applyAlignment="1">
      <alignment vertical="center" wrapText="1"/>
    </xf>
    <xf numFmtId="10" fontId="15" fillId="0" borderId="0" xfId="0" applyNumberFormat="1" applyFont="1" applyFill="1" applyBorder="1" applyAlignment="1">
      <alignment vertical="center" wrapText="1"/>
    </xf>
    <xf numFmtId="10" fontId="16" fillId="0" borderId="0" xfId="0" applyNumberFormat="1" applyFont="1" applyFill="1" applyBorder="1" applyAlignment="1">
      <alignment horizontal="center"/>
    </xf>
    <xf numFmtId="10" fontId="9" fillId="0" borderId="0" xfId="0" applyNumberFormat="1" applyFont="1" applyFill="1" applyBorder="1" applyAlignment="1">
      <alignment horizontal="center"/>
    </xf>
    <xf numFmtId="9" fontId="9" fillId="0" borderId="0" xfId="2" applyFont="1" applyFill="1" applyBorder="1" applyAlignment="1">
      <alignment horizontal="center"/>
    </xf>
    <xf numFmtId="0" fontId="19" fillId="4" borderId="34" xfId="0" applyFont="1" applyFill="1" applyBorder="1" applyAlignment="1">
      <alignment horizontal="left"/>
    </xf>
    <xf numFmtId="0" fontId="1" fillId="4" borderId="35" xfId="0" applyFont="1" applyFill="1" applyBorder="1"/>
    <xf numFmtId="0" fontId="3" fillId="4" borderId="35" xfId="0" applyFont="1" applyFill="1" applyBorder="1"/>
    <xf numFmtId="0" fontId="15" fillId="4" borderId="35" xfId="0" applyFont="1" applyFill="1" applyBorder="1"/>
    <xf numFmtId="0" fontId="16" fillId="4" borderId="35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9" fontId="1" fillId="4" borderId="36" xfId="2" applyFont="1" applyFill="1" applyBorder="1" applyAlignment="1">
      <alignment horizontal="center"/>
    </xf>
    <xf numFmtId="168" fontId="0" fillId="0" borderId="19" xfId="3" applyNumberFormat="1" applyFont="1" applyFill="1" applyBorder="1"/>
    <xf numFmtId="168" fontId="2" fillId="0" borderId="20" xfId="0" applyNumberFormat="1" applyFont="1" applyFill="1" applyBorder="1" applyAlignment="1">
      <alignment horizontal="center"/>
    </xf>
    <xf numFmtId="3" fontId="2" fillId="0" borderId="23" xfId="0" applyNumberFormat="1" applyFont="1" applyFill="1" applyBorder="1" applyAlignment="1">
      <alignment horizontal="center"/>
    </xf>
    <xf numFmtId="9" fontId="2" fillId="0" borderId="25" xfId="2" applyFont="1" applyFill="1" applyBorder="1" applyAlignment="1">
      <alignment horizontal="center"/>
    </xf>
    <xf numFmtId="9" fontId="0" fillId="0" borderId="0" xfId="2" applyFont="1"/>
    <xf numFmtId="168" fontId="15" fillId="0" borderId="19" xfId="3" applyNumberFormat="1" applyFont="1" applyFill="1" applyBorder="1"/>
    <xf numFmtId="10" fontId="0" fillId="0" borderId="17" xfId="0" applyNumberFormat="1" applyFont="1" applyFill="1" applyBorder="1" applyAlignment="1">
      <alignment vertical="center" wrapText="1"/>
    </xf>
    <xf numFmtId="1" fontId="0" fillId="0" borderId="5" xfId="2" applyNumberFormat="1" applyFont="1" applyBorder="1" applyAlignment="1">
      <alignment horizontal="right"/>
    </xf>
    <xf numFmtId="0" fontId="0" fillId="0" borderId="5" xfId="0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166" fontId="0" fillId="0" borderId="19" xfId="0" applyNumberFormat="1" applyFill="1" applyBorder="1"/>
    <xf numFmtId="166" fontId="15" fillId="0" borderId="19" xfId="0" applyNumberFormat="1" applyFont="1" applyFill="1" applyBorder="1"/>
    <xf numFmtId="0" fontId="23" fillId="0" borderId="5" xfId="0" applyFont="1" applyBorder="1" applyAlignment="1">
      <alignment horizontal="center" vertical="center" wrapText="1"/>
    </xf>
    <xf numFmtId="3" fontId="0" fillId="0" borderId="5" xfId="0" applyNumberFormat="1" applyBorder="1"/>
    <xf numFmtId="0" fontId="24" fillId="0" borderId="0" xfId="4" applyAlignment="1">
      <alignment vertical="center" wrapText="1"/>
    </xf>
    <xf numFmtId="166" fontId="15" fillId="0" borderId="19" xfId="0" applyNumberFormat="1" applyFont="1" applyFill="1" applyBorder="1" applyAlignment="1">
      <alignment vertical="center" wrapText="1"/>
    </xf>
    <xf numFmtId="1" fontId="15" fillId="5" borderId="19" xfId="0" applyNumberFormat="1" applyFont="1" applyFill="1" applyBorder="1"/>
    <xf numFmtId="10" fontId="15" fillId="5" borderId="19" xfId="0" applyNumberFormat="1" applyFont="1" applyFill="1" applyBorder="1"/>
    <xf numFmtId="5" fontId="15" fillId="5" borderId="19" xfId="1" applyNumberFormat="1" applyFont="1" applyFill="1" applyBorder="1"/>
    <xf numFmtId="3" fontId="0" fillId="0" borderId="0" xfId="0" applyNumberFormat="1" applyBorder="1"/>
    <xf numFmtId="0" fontId="21" fillId="0" borderId="28" xfId="0" applyFont="1" applyFill="1" applyBorder="1" applyAlignment="1">
      <alignment horizontal="left" vertical="center" wrapText="1"/>
    </xf>
    <xf numFmtId="0" fontId="21" fillId="0" borderId="29" xfId="0" applyFont="1" applyFill="1" applyBorder="1" applyAlignment="1">
      <alignment horizontal="left" vertical="center" wrapText="1"/>
    </xf>
    <xf numFmtId="0" fontId="21" fillId="0" borderId="18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left" vertical="center" wrapText="1"/>
    </xf>
    <xf numFmtId="0" fontId="20" fillId="0" borderId="28" xfId="0" applyFont="1" applyFill="1" applyBorder="1" applyAlignment="1">
      <alignment horizontal="center"/>
    </xf>
    <xf numFmtId="0" fontId="20" fillId="0" borderId="29" xfId="0" applyFont="1" applyFill="1" applyBorder="1" applyAlignment="1">
      <alignment horizontal="center"/>
    </xf>
    <xf numFmtId="0" fontId="20" fillId="0" borderId="33" xfId="0" applyFont="1" applyFill="1" applyBorder="1" applyAlignment="1">
      <alignment horizontal="center"/>
    </xf>
    <xf numFmtId="0" fontId="21" fillId="0" borderId="7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37" xfId="0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</cellXfs>
  <cellStyles count="5">
    <cellStyle name="Lien hypertexte" xfId="4" builtinId="8"/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013648293963255"/>
          <c:y val="0.17171296296296298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'2017 Website'!$A$4:$A$5</c:f>
              <c:strCache>
                <c:ptCount val="1"/>
                <c:pt idx="0">
                  <c:v>Visits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Website'!$C$4:$N$4</c:f>
              <c:numCache>
                <c:formatCode>#,##0</c:formatCode>
                <c:ptCount val="12"/>
                <c:pt idx="0">
                  <c:v>44564</c:v>
                </c:pt>
                <c:pt idx="1">
                  <c:v>39586</c:v>
                </c:pt>
                <c:pt idx="2">
                  <c:v>45823</c:v>
                </c:pt>
                <c:pt idx="3">
                  <c:v>39962</c:v>
                </c:pt>
                <c:pt idx="4">
                  <c:v>47876</c:v>
                </c:pt>
                <c:pt idx="5">
                  <c:v>41580</c:v>
                </c:pt>
                <c:pt idx="6">
                  <c:v>37710</c:v>
                </c:pt>
                <c:pt idx="7">
                  <c:v>42208</c:v>
                </c:pt>
                <c:pt idx="8">
                  <c:v>43979</c:v>
                </c:pt>
                <c:pt idx="9">
                  <c:v>45029</c:v>
                </c:pt>
                <c:pt idx="10">
                  <c:v>44461</c:v>
                </c:pt>
                <c:pt idx="11">
                  <c:v>39469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157376"/>
        <c:axId val="445154632"/>
      </c:lineChart>
      <c:catAx>
        <c:axId val="4451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154632"/>
        <c:crosses val="autoZero"/>
        <c:auto val="1"/>
        <c:lblAlgn val="ctr"/>
        <c:lblOffset val="100"/>
        <c:noMultiLvlLbl val="0"/>
      </c:catAx>
      <c:valAx>
        <c:axId val="44515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1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Avg.Session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'2017 Website'!$A$16:$A$17</c:f>
              <c:strCache>
                <c:ptCount val="1"/>
                <c:pt idx="0">
                  <c:v>Avg.Session Duration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Website'!$C$16:$N$16</c:f>
              <c:numCache>
                <c:formatCode>0.00</c:formatCode>
                <c:ptCount val="12"/>
                <c:pt idx="0">
                  <c:v>3.44</c:v>
                </c:pt>
                <c:pt idx="1">
                  <c:v>3.35</c:v>
                </c:pt>
                <c:pt idx="2">
                  <c:v>3.32</c:v>
                </c:pt>
                <c:pt idx="3">
                  <c:v>3.24</c:v>
                </c:pt>
                <c:pt idx="4">
                  <c:v>3.05</c:v>
                </c:pt>
                <c:pt idx="5">
                  <c:v>3.12</c:v>
                </c:pt>
                <c:pt idx="6">
                  <c:v>3.24</c:v>
                </c:pt>
                <c:pt idx="7">
                  <c:v>3.19</c:v>
                </c:pt>
                <c:pt idx="8">
                  <c:v>3.13</c:v>
                </c:pt>
                <c:pt idx="9">
                  <c:v>3.23</c:v>
                </c:pt>
                <c:pt idx="10">
                  <c:v>3.19</c:v>
                </c:pt>
                <c:pt idx="11">
                  <c:v>3.17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156984"/>
        <c:axId val="445154240"/>
      </c:lineChart>
      <c:catAx>
        <c:axId val="44515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154240"/>
        <c:crosses val="autoZero"/>
        <c:auto val="1"/>
        <c:lblAlgn val="ctr"/>
        <c:lblOffset val="100"/>
        <c:noMultiLvlLbl val="0"/>
      </c:catAx>
      <c:valAx>
        <c:axId val="4451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15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Bounce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Website'!$C$10:$N$10</c:f>
              <c:numCache>
                <c:formatCode>0.0%</c:formatCode>
                <c:ptCount val="12"/>
                <c:pt idx="0">
                  <c:v>0.43909999999999999</c:v>
                </c:pt>
                <c:pt idx="1">
                  <c:v>0.43759999999999999</c:v>
                </c:pt>
                <c:pt idx="2">
                  <c:v>0.44340000000000002</c:v>
                </c:pt>
                <c:pt idx="3">
                  <c:v>0.4521</c:v>
                </c:pt>
                <c:pt idx="4">
                  <c:v>0.50080000000000002</c:v>
                </c:pt>
                <c:pt idx="5">
                  <c:v>0.47820000000000001</c:v>
                </c:pt>
                <c:pt idx="6">
                  <c:v>0.45729999999999998</c:v>
                </c:pt>
                <c:pt idx="7">
                  <c:v>0.45929999999999999</c:v>
                </c:pt>
                <c:pt idx="8">
                  <c:v>0.47810000000000002</c:v>
                </c:pt>
                <c:pt idx="9">
                  <c:v>0.46139999999999998</c:v>
                </c:pt>
                <c:pt idx="10">
                  <c:v>0.4657</c:v>
                </c:pt>
                <c:pt idx="11">
                  <c:v>0.47010000000000002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153848"/>
        <c:axId val="445155024"/>
      </c:lineChart>
      <c:catAx>
        <c:axId val="44515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155024"/>
        <c:crosses val="autoZero"/>
        <c:auto val="1"/>
        <c:lblAlgn val="ctr"/>
        <c:lblOffset val="100"/>
        <c:noMultiLvlLbl val="0"/>
      </c:catAx>
      <c:valAx>
        <c:axId val="4451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5153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Transaction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Revenue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Website'!$C$22:$N$22</c:f>
              <c:numCache>
                <c:formatCode>"€"#,##0_);\("€"#,##0\)</c:formatCode>
                <c:ptCount val="12"/>
                <c:pt idx="0">
                  <c:v>212316.12</c:v>
                </c:pt>
                <c:pt idx="1">
                  <c:v>302068.25</c:v>
                </c:pt>
                <c:pt idx="2">
                  <c:v>199407.96</c:v>
                </c:pt>
                <c:pt idx="3">
                  <c:v>274070</c:v>
                </c:pt>
                <c:pt idx="4">
                  <c:v>311920.49</c:v>
                </c:pt>
                <c:pt idx="5">
                  <c:v>169495</c:v>
                </c:pt>
              </c:numCache>
            </c:numRef>
          </c:val>
          <c:smooth val="0"/>
        </c:ser>
        <c:ser>
          <c:idx val="3"/>
          <c:order val="1"/>
          <c:tx>
            <c:v>Transaction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Website'!#REF!</c:f>
              <c:numCache>
                <c:formatCode>General</c:formatCode>
                <c:ptCount val="10"/>
              </c:numCache>
            </c:numRef>
          </c:val>
          <c:smooth val="0"/>
        </c:ser>
        <c:ser>
          <c:idx val="0"/>
          <c:order val="2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Website'!$C$22:$N$22</c:f>
              <c:numCache>
                <c:formatCode>"€"#,##0_);\("€"#,##0\)</c:formatCode>
                <c:ptCount val="12"/>
                <c:pt idx="0">
                  <c:v>212316.12</c:v>
                </c:pt>
                <c:pt idx="1">
                  <c:v>302068.25</c:v>
                </c:pt>
                <c:pt idx="2">
                  <c:v>199407.96</c:v>
                </c:pt>
                <c:pt idx="3">
                  <c:v>274070</c:v>
                </c:pt>
                <c:pt idx="4">
                  <c:v>311920.49</c:v>
                </c:pt>
                <c:pt idx="5">
                  <c:v>169495</c:v>
                </c:pt>
              </c:numCache>
            </c:numRef>
          </c:val>
          <c:smooth val="0"/>
        </c:ser>
        <c:ser>
          <c:idx val="1"/>
          <c:order val="3"/>
          <c:tx>
            <c:v>Transaction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'2017 Website'!$C$2:$N$2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'2017 Website'!#REF!</c:f>
              <c:numCache>
                <c:formatCode>General</c:formatCode>
                <c:ptCount val="1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92768"/>
        <c:axId val="441993160"/>
      </c:lineChart>
      <c:catAx>
        <c:axId val="4419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1993160"/>
        <c:crosses val="autoZero"/>
        <c:auto val="1"/>
        <c:lblAlgn val="ctr"/>
        <c:lblOffset val="100"/>
        <c:noMultiLvlLbl val="0"/>
      </c:catAx>
      <c:valAx>
        <c:axId val="44199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19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0</xdr:row>
      <xdr:rowOff>123825</xdr:rowOff>
    </xdr:from>
    <xdr:to>
      <xdr:col>8</xdr:col>
      <xdr:colOff>209550</xdr:colOff>
      <xdr:row>15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287990</xdr:colOff>
      <xdr:row>0</xdr:row>
      <xdr:rowOff>123825</xdr:rowOff>
    </xdr:from>
    <xdr:to>
      <xdr:col>15</xdr:col>
      <xdr:colOff>592790</xdr:colOff>
      <xdr:row>15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72837</xdr:colOff>
      <xdr:row>0</xdr:row>
      <xdr:rowOff>135031</xdr:rowOff>
    </xdr:from>
    <xdr:to>
      <xdr:col>23</xdr:col>
      <xdr:colOff>377637</xdr:colOff>
      <xdr:row>15</xdr:row>
      <xdr:rowOff>20731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16</xdr:row>
      <xdr:rowOff>9525</xdr:rowOff>
    </xdr:from>
    <xdr:to>
      <xdr:col>8</xdr:col>
      <xdr:colOff>190500</xdr:colOff>
      <xdr:row>31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458321</xdr:colOff>
          <xdr:row>20</xdr:row>
          <xdr:rowOff>116541</xdr:rowOff>
        </xdr:from>
        <xdr:to>
          <xdr:col>10</xdr:col>
          <xdr:colOff>677396</xdr:colOff>
          <xdr:row>21</xdr:row>
          <xdr:rowOff>154641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458321</xdr:colOff>
          <xdr:row>21</xdr:row>
          <xdr:rowOff>116541</xdr:rowOff>
        </xdr:from>
        <xdr:to>
          <xdr:col>10</xdr:col>
          <xdr:colOff>677396</xdr:colOff>
          <xdr:row>22</xdr:row>
          <xdr:rowOff>154641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458321</xdr:colOff>
          <xdr:row>22</xdr:row>
          <xdr:rowOff>116541</xdr:rowOff>
        </xdr:from>
        <xdr:to>
          <xdr:col>10</xdr:col>
          <xdr:colOff>677396</xdr:colOff>
          <xdr:row>23</xdr:row>
          <xdr:rowOff>154641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458321</xdr:colOff>
          <xdr:row>23</xdr:row>
          <xdr:rowOff>116541</xdr:rowOff>
        </xdr:from>
        <xdr:to>
          <xdr:col>10</xdr:col>
          <xdr:colOff>677396</xdr:colOff>
          <xdr:row>24</xdr:row>
          <xdr:rowOff>154641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458321</xdr:colOff>
          <xdr:row>24</xdr:row>
          <xdr:rowOff>116541</xdr:rowOff>
        </xdr:from>
        <xdr:to>
          <xdr:col>10</xdr:col>
          <xdr:colOff>677396</xdr:colOff>
          <xdr:row>25</xdr:row>
          <xdr:rowOff>154641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458321</xdr:colOff>
          <xdr:row>25</xdr:row>
          <xdr:rowOff>116541</xdr:rowOff>
        </xdr:from>
        <xdr:to>
          <xdr:col>10</xdr:col>
          <xdr:colOff>677396</xdr:colOff>
          <xdr:row>26</xdr:row>
          <xdr:rowOff>154641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control" Target="../activeX/activeX1.xml"/><Relationship Id="rId7" Type="http://schemas.openxmlformats.org/officeDocument/2006/relationships/image" Target="../media/image2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6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0"/>
  <sheetViews>
    <sheetView zoomScale="90" zoomScaleNormal="90" workbookViewId="0">
      <selection activeCell="L26" sqref="L26"/>
    </sheetView>
  </sheetViews>
  <sheetFormatPr baseColWidth="10" defaultColWidth="9.140625" defaultRowHeight="15.75" x14ac:dyDescent="0.25"/>
  <cols>
    <col min="1" max="1" width="30.85546875" style="163" customWidth="1"/>
    <col min="2" max="2" width="9.140625" style="64"/>
    <col min="3" max="14" width="13.7109375" style="15" customWidth="1"/>
    <col min="15" max="16" width="13.140625" style="22" customWidth="1"/>
    <col min="17" max="17" width="2.28515625" style="15" customWidth="1"/>
    <col min="18" max="18" width="14.28515625" style="15" customWidth="1"/>
    <col min="19" max="19" width="13.140625" style="15" bestFit="1" customWidth="1"/>
    <col min="20" max="20" width="9.140625" style="15"/>
    <col min="21" max="21" width="10.42578125" style="15" bestFit="1" customWidth="1"/>
    <col min="22" max="16384" width="9.140625" style="15"/>
  </cols>
  <sheetData>
    <row r="1" spans="1:22" ht="16.5" thickBot="1" x14ac:dyDescent="0.3"/>
    <row r="2" spans="1:22" s="152" customFormat="1" ht="32.25" thickBot="1" x14ac:dyDescent="0.3">
      <c r="A2" s="164"/>
      <c r="B2" s="151"/>
      <c r="C2" s="151" t="s">
        <v>0</v>
      </c>
      <c r="D2" s="151" t="s">
        <v>1</v>
      </c>
      <c r="E2" s="151" t="s">
        <v>2</v>
      </c>
      <c r="F2" s="151" t="s">
        <v>3</v>
      </c>
      <c r="G2" s="151" t="s">
        <v>4</v>
      </c>
      <c r="H2" s="151" t="s">
        <v>5</v>
      </c>
      <c r="I2" s="151" t="s">
        <v>6</v>
      </c>
      <c r="J2" s="151" t="s">
        <v>7</v>
      </c>
      <c r="K2" s="151" t="s">
        <v>8</v>
      </c>
      <c r="L2" s="151" t="s">
        <v>9</v>
      </c>
      <c r="M2" s="151" t="s">
        <v>10</v>
      </c>
      <c r="N2" s="151" t="s">
        <v>11</v>
      </c>
      <c r="O2" s="151" t="s">
        <v>22</v>
      </c>
      <c r="P2" s="151" t="s">
        <v>46</v>
      </c>
      <c r="R2" s="153" t="s">
        <v>51</v>
      </c>
      <c r="S2" s="154" t="s">
        <v>59</v>
      </c>
    </row>
    <row r="3" spans="1:22" s="18" customFormat="1" ht="16.5" thickBot="1" x14ac:dyDescent="0.3">
      <c r="A3" s="165" t="s">
        <v>85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7"/>
      <c r="P3" s="148"/>
      <c r="Q3" s="17"/>
      <c r="R3" s="129"/>
      <c r="S3" s="130"/>
      <c r="U3" s="184" t="s">
        <v>76</v>
      </c>
    </row>
    <row r="4" spans="1:22" ht="15" x14ac:dyDescent="0.25">
      <c r="A4" s="224" t="s">
        <v>13</v>
      </c>
      <c r="B4" s="82" t="s">
        <v>14</v>
      </c>
      <c r="C4" s="83">
        <v>44564</v>
      </c>
      <c r="D4" s="83">
        <v>39586</v>
      </c>
      <c r="E4" s="83">
        <v>45823</v>
      </c>
      <c r="F4" s="83">
        <v>39962</v>
      </c>
      <c r="G4" s="83">
        <v>47876</v>
      </c>
      <c r="H4" s="83">
        <v>41580</v>
      </c>
      <c r="I4" s="83">
        <v>37710</v>
      </c>
      <c r="J4" s="83">
        <v>42208</v>
      </c>
      <c r="K4" s="83">
        <v>43979</v>
      </c>
      <c r="L4" s="83">
        <v>45029</v>
      </c>
      <c r="M4" s="83">
        <v>44461</v>
      </c>
      <c r="N4" s="83">
        <v>39469</v>
      </c>
      <c r="O4" s="84">
        <f>AVERAGE(C4:N4)</f>
        <v>42687.25</v>
      </c>
      <c r="P4" s="112">
        <f>SUM(C4:N4)</f>
        <v>512247</v>
      </c>
      <c r="R4" s="162"/>
      <c r="S4" s="86"/>
    </row>
    <row r="5" spans="1:22" ht="15" x14ac:dyDescent="0.25">
      <c r="A5" s="225"/>
      <c r="B5" s="74" t="s">
        <v>17</v>
      </c>
      <c r="C5" s="159">
        <f>(C4-'2016 Website'!N4)/'2016 Website'!N4</f>
        <v>-0.27749675745784697</v>
      </c>
      <c r="D5" s="75">
        <f t="shared" ref="D5:N5" si="0">(D4-C4)/C4</f>
        <v>-0.11170451485503995</v>
      </c>
      <c r="E5" s="78">
        <f t="shared" si="0"/>
        <v>0.15755570151063508</v>
      </c>
      <c r="F5" s="75">
        <f t="shared" si="0"/>
        <v>-0.12790520044519127</v>
      </c>
      <c r="G5" s="75">
        <f t="shared" si="0"/>
        <v>0.19803813622941796</v>
      </c>
      <c r="H5" s="75">
        <f t="shared" si="0"/>
        <v>-0.13150639151140447</v>
      </c>
      <c r="I5" s="75">
        <f t="shared" si="0"/>
        <v>-9.3073593073593072E-2</v>
      </c>
      <c r="J5" s="78">
        <f t="shared" si="0"/>
        <v>0.11927870591355078</v>
      </c>
      <c r="K5" s="78">
        <f t="shared" si="0"/>
        <v>4.1958870356330551E-2</v>
      </c>
      <c r="L5" s="78">
        <f t="shared" si="0"/>
        <v>2.3875031264921895E-2</v>
      </c>
      <c r="M5" s="75">
        <f t="shared" si="0"/>
        <v>-1.2614093139976459E-2</v>
      </c>
      <c r="N5" s="75">
        <f t="shared" si="0"/>
        <v>-0.11227817637929871</v>
      </c>
      <c r="O5" s="77">
        <f t="shared" ref="O5:O40" si="1">AVERAGE(C5:N5)</f>
        <v>-2.7156023465624554E-2</v>
      </c>
      <c r="P5" s="113"/>
      <c r="R5" s="133"/>
      <c r="S5" s="87"/>
    </row>
    <row r="6" spans="1:22" thickBot="1" x14ac:dyDescent="0.3">
      <c r="A6" s="226"/>
      <c r="B6" s="88" t="s">
        <v>18</v>
      </c>
      <c r="C6" s="156">
        <f>(C4-'2016 Website'!C4)/'2016 Website'!C4</f>
        <v>0.16619998429853713</v>
      </c>
      <c r="D6" s="156">
        <f>(D4-'2016 Website'!D4)/'2016 Website'!D4</f>
        <v>0.11758561305440275</v>
      </c>
      <c r="E6" s="156">
        <f>(E4-'2016 Website'!E4)/'2016 Website'!E4</f>
        <v>0.24191668699352251</v>
      </c>
      <c r="F6" s="156">
        <f>(F4-'2016 Website'!F4)/'2016 Website'!F4</f>
        <v>9.2723742856361605E-2</v>
      </c>
      <c r="G6" s="156">
        <f>(G4-'2016 Website'!G4)/'2016 Website'!G4</f>
        <v>0.1617850469557621</v>
      </c>
      <c r="H6" s="158">
        <f>(H4-'2016 Website'!H4)/'2016 Website'!H4</f>
        <v>-0.51740386958994422</v>
      </c>
      <c r="I6" s="158">
        <f>(I4-'2016 Website'!I4)/'2016 Website'!I4</f>
        <v>-5.4436949926029939E-2</v>
      </c>
      <c r="J6" s="156">
        <f>(J4-'2016 Website'!J4)/'2016 Website'!J4</f>
        <v>0.147018859720637</v>
      </c>
      <c r="K6" s="156">
        <f>(K4-'2016 Website'!K4)/'2016 Website'!K4</f>
        <v>9.6077160801515307E-2</v>
      </c>
      <c r="L6" s="158">
        <f>(L4-'2016 Website'!L4)/'2016 Website'!L4</f>
        <v>-0.20734755668215743</v>
      </c>
      <c r="M6" s="158">
        <f>(M4-'2016 Website'!M4)/'2016 Website'!M4</f>
        <v>-0.29452739476064294</v>
      </c>
      <c r="N6" s="158">
        <f>(N4-'2016 Website'!N4)/'2016 Website'!N4</f>
        <v>-0.36010051880674449</v>
      </c>
      <c r="O6" s="77">
        <f>AVERAGE(C6:N6)</f>
        <v>-3.4209099590398383E-2</v>
      </c>
      <c r="P6" s="114"/>
      <c r="R6" s="133"/>
      <c r="S6" s="87"/>
    </row>
    <row r="7" spans="1:22" ht="15" x14ac:dyDescent="0.25">
      <c r="A7" s="224" t="s">
        <v>12</v>
      </c>
      <c r="B7" s="82" t="s">
        <v>15</v>
      </c>
      <c r="C7" s="83">
        <v>32676</v>
      </c>
      <c r="D7" s="90">
        <v>29239</v>
      </c>
      <c r="E7" s="90">
        <v>33334</v>
      </c>
      <c r="F7" s="90">
        <v>29410</v>
      </c>
      <c r="G7" s="90">
        <v>35048</v>
      </c>
      <c r="H7" s="90">
        <v>30465</v>
      </c>
      <c r="I7" s="90">
        <v>24715</v>
      </c>
      <c r="J7" s="90">
        <v>32455</v>
      </c>
      <c r="K7" s="90">
        <v>33644</v>
      </c>
      <c r="L7" s="90">
        <v>33986</v>
      </c>
      <c r="M7" s="90">
        <v>33327</v>
      </c>
      <c r="N7" s="90">
        <v>29896</v>
      </c>
      <c r="O7" s="91">
        <f t="shared" si="1"/>
        <v>31516.25</v>
      </c>
      <c r="P7" s="112">
        <f>SUM(C7:N7)</f>
        <v>378195</v>
      </c>
      <c r="R7" s="131">
        <v>480000</v>
      </c>
      <c r="S7" s="132">
        <f>P7/R7</f>
        <v>0.78790625000000003</v>
      </c>
      <c r="U7" s="15">
        <f>R7/12</f>
        <v>40000</v>
      </c>
      <c r="V7" s="72"/>
    </row>
    <row r="8" spans="1:22" ht="15" x14ac:dyDescent="0.25">
      <c r="A8" s="225"/>
      <c r="B8" s="74" t="s">
        <v>17</v>
      </c>
      <c r="C8" s="159">
        <f>(C7-'2016 Website'!N6)/'2016 Website'!N6</f>
        <v>-0.23500491642084562</v>
      </c>
      <c r="D8" s="75">
        <f t="shared" ref="D8:N8" si="2">(D7-C7)/C7</f>
        <v>-0.10518423307626393</v>
      </c>
      <c r="E8" s="78">
        <f t="shared" si="2"/>
        <v>0.14005266937993777</v>
      </c>
      <c r="F8" s="75">
        <f t="shared" si="2"/>
        <v>-0.11771764564708706</v>
      </c>
      <c r="G8" s="78">
        <f t="shared" si="2"/>
        <v>0.1917035022101326</v>
      </c>
      <c r="H8" s="75">
        <f t="shared" si="2"/>
        <v>-0.13076352430951838</v>
      </c>
      <c r="I8" s="75">
        <f t="shared" si="2"/>
        <v>-0.18874117840144428</v>
      </c>
      <c r="J8" s="78">
        <f t="shared" si="2"/>
        <v>0.31317013959134127</v>
      </c>
      <c r="K8" s="78">
        <f t="shared" si="2"/>
        <v>3.6635341241719306E-2</v>
      </c>
      <c r="L8" s="78">
        <f t="shared" si="2"/>
        <v>1.0165259778861015E-2</v>
      </c>
      <c r="M8" s="75">
        <f t="shared" si="2"/>
        <v>-1.9390337197669628E-2</v>
      </c>
      <c r="N8" s="75">
        <f t="shared" si="2"/>
        <v>-0.10294956041647912</v>
      </c>
      <c r="O8" s="77">
        <f t="shared" si="1"/>
        <v>-1.7335373605609675E-2</v>
      </c>
      <c r="P8" s="113"/>
      <c r="R8" s="133"/>
      <c r="S8" s="87"/>
    </row>
    <row r="9" spans="1:22" thickBot="1" x14ac:dyDescent="0.3">
      <c r="A9" s="226"/>
      <c r="B9" s="88" t="s">
        <v>18</v>
      </c>
      <c r="C9" s="156">
        <f>(C7-'2016 Website'!C6)/'2016 Website'!C6</f>
        <v>9.7541313986295855E-2</v>
      </c>
      <c r="D9" s="156">
        <f>(D7-'2016 Website'!D6)/'2016 Website'!D6</f>
        <v>6.9497787044149384E-2</v>
      </c>
      <c r="E9" s="156">
        <f>(E7-'2016 Website'!E6)/'2016 Website'!E6</f>
        <v>0.1902449475112476</v>
      </c>
      <c r="F9" s="156">
        <f>(F7-'2016 Website'!F6)/'2016 Website'!F6</f>
        <v>3.9700215646763529E-2</v>
      </c>
      <c r="G9" s="156">
        <f>(G7-'2016 Website'!G6)/'2016 Website'!G6</f>
        <v>0.1004772670183371</v>
      </c>
      <c r="H9" s="158">
        <f>(H7-'2016 Website'!H6)/'2016 Website'!H6</f>
        <v>-0.55355441902724245</v>
      </c>
      <c r="I9" s="158">
        <f>(I7-'2016 Website'!I6)/'2016 Website'!I6</f>
        <v>-0.14457289215007615</v>
      </c>
      <c r="J9" s="156">
        <f>(J7-'2016 Website'!J6)/'2016 Website'!J6</f>
        <v>0.18022473544492526</v>
      </c>
      <c r="K9" s="156">
        <f>(K7-'2016 Website'!K6)/'2016 Website'!K6</f>
        <v>0.13796719093522747</v>
      </c>
      <c r="L9" s="158">
        <f>(L7-'2016 Website'!L6)/'2016 Website'!L6</f>
        <v>-0.21664169643886136</v>
      </c>
      <c r="M9" s="158">
        <f>(M7-'2016 Website'!M6)/'2016 Website'!M6</f>
        <v>-0.25976189418506507</v>
      </c>
      <c r="N9" s="158">
        <f>(N7-'2016 Website'!N6)/'2016 Website'!N6</f>
        <v>-0.30008896380577799</v>
      </c>
      <c r="O9" s="77">
        <f t="shared" si="1"/>
        <v>-5.491386733500641E-2</v>
      </c>
      <c r="P9" s="114"/>
      <c r="R9" s="133"/>
      <c r="S9" s="87"/>
    </row>
    <row r="10" spans="1:22" ht="15" x14ac:dyDescent="0.25">
      <c r="A10" s="224" t="s">
        <v>20</v>
      </c>
      <c r="B10" s="82" t="s">
        <v>14</v>
      </c>
      <c r="C10" s="212">
        <v>0.43909999999999999</v>
      </c>
      <c r="D10" s="213">
        <v>0.43759999999999999</v>
      </c>
      <c r="E10" s="213">
        <v>0.44340000000000002</v>
      </c>
      <c r="F10" s="213">
        <v>0.4521</v>
      </c>
      <c r="G10" s="213">
        <v>0.50080000000000002</v>
      </c>
      <c r="H10" s="213">
        <v>0.47820000000000001</v>
      </c>
      <c r="I10" s="213">
        <v>0.45729999999999998</v>
      </c>
      <c r="J10" s="213">
        <v>0.45929999999999999</v>
      </c>
      <c r="K10" s="213">
        <v>0.47810000000000002</v>
      </c>
      <c r="L10" s="213">
        <v>0.46139999999999998</v>
      </c>
      <c r="M10" s="213">
        <v>0.4657</v>
      </c>
      <c r="N10" s="213">
        <v>0.47010000000000002</v>
      </c>
      <c r="O10" s="93">
        <f t="shared" si="1"/>
        <v>0.46192500000000009</v>
      </c>
      <c r="P10" s="115"/>
      <c r="R10" s="134" t="s">
        <v>116</v>
      </c>
      <c r="S10" s="132"/>
    </row>
    <row r="11" spans="1:22" ht="15" x14ac:dyDescent="0.25">
      <c r="A11" s="225"/>
      <c r="B11" s="74" t="s">
        <v>17</v>
      </c>
      <c r="C11" s="155">
        <f>(C10-'2016 Website'!N8)/'2016 Website'!N8</f>
        <v>-0.32446153846153852</v>
      </c>
      <c r="D11" s="78">
        <f t="shared" ref="D11:N11" si="3">(D10-C10)/C10</f>
        <v>-3.4160783420633142E-3</v>
      </c>
      <c r="E11" s="75">
        <f t="shared" si="3"/>
        <v>1.3254113345521087E-2</v>
      </c>
      <c r="F11" s="75">
        <f t="shared" si="3"/>
        <v>1.9621109607577774E-2</v>
      </c>
      <c r="G11" s="75">
        <f t="shared" si="3"/>
        <v>0.10771953107719535</v>
      </c>
      <c r="H11" s="78">
        <f t="shared" si="3"/>
        <v>-4.5127795527156567E-2</v>
      </c>
      <c r="I11" s="78">
        <f t="shared" si="3"/>
        <v>-4.3705562526139753E-2</v>
      </c>
      <c r="J11" s="75">
        <f t="shared" si="3"/>
        <v>4.3734966105401308E-3</v>
      </c>
      <c r="K11" s="75">
        <f t="shared" si="3"/>
        <v>4.0931852819508036E-2</v>
      </c>
      <c r="L11" s="78">
        <f t="shared" si="3"/>
        <v>-3.4929930976783201E-2</v>
      </c>
      <c r="M11" s="75">
        <f t="shared" si="3"/>
        <v>9.3194625054183484E-3</v>
      </c>
      <c r="N11" s="75">
        <f t="shared" si="3"/>
        <v>9.4481425810608016E-3</v>
      </c>
      <c r="O11" s="77">
        <f>AVERAGE(C11:N11)</f>
        <v>-2.0581099773904984E-2</v>
      </c>
      <c r="P11" s="116"/>
      <c r="R11" s="135"/>
      <c r="S11" s="94"/>
    </row>
    <row r="12" spans="1:22" thickBot="1" x14ac:dyDescent="0.3">
      <c r="A12" s="226"/>
      <c r="B12" s="88" t="s">
        <v>18</v>
      </c>
      <c r="C12" s="158">
        <f>(C10-'2016 Website'!C8)/'2016 Website'!C8</f>
        <v>2.1162790697674412E-2</v>
      </c>
      <c r="D12" s="156">
        <f>(D10-'2016 Website'!D8)/'2016 Website'!D8</f>
        <v>-2.7555555555555604E-2</v>
      </c>
      <c r="E12" s="158">
        <f>(E10-'2016 Website'!E8)/'2016 Website'!E8</f>
        <v>7.7272727272727597E-3</v>
      </c>
      <c r="F12" s="178">
        <f>(F10-'2016 Website'!F8)/'2016 Website'!F8</f>
        <v>4.6666666666666462E-3</v>
      </c>
      <c r="G12" s="158">
        <f>(G10-'2016 Website'!G8)/'2016 Website'!G8</f>
        <v>6.5531914893617135E-2</v>
      </c>
      <c r="H12" s="156">
        <f>(H10-'2016 Website'!H8)/'2016 Website'!H8</f>
        <v>-0.2528125</v>
      </c>
      <c r="I12" s="156">
        <f>(I10-'2016 Website'!I8)/'2016 Website'!I8</f>
        <v>-8.5400000000000031E-2</v>
      </c>
      <c r="J12" s="158">
        <f>(J10-'2016 Website'!J8)/'2016 Website'!J8</f>
        <v>2.0666666666666611E-2</v>
      </c>
      <c r="K12" s="158">
        <f>(K10-'2016 Website'!K8)/'2016 Website'!K8</f>
        <v>3.9347826086956528E-2</v>
      </c>
      <c r="L12" s="156">
        <f>(L10-'2016 Website'!L8)/'2016 Website'!L8</f>
        <v>-0.21796610169491526</v>
      </c>
      <c r="M12" s="156">
        <f>(M10-'2016 Website'!M8)/'2016 Website'!M8</f>
        <v>-0.2607936507936508</v>
      </c>
      <c r="N12" s="156">
        <f>(N10-'2016 Website'!N8)/'2016 Website'!N8</f>
        <v>-0.27676923076923077</v>
      </c>
      <c r="O12" s="77">
        <f>AVERAGE(C12:N12)</f>
        <v>-8.0182825089541526E-2</v>
      </c>
      <c r="P12" s="117"/>
      <c r="R12" s="135"/>
      <c r="S12" s="94"/>
    </row>
    <row r="13" spans="1:22" ht="15" x14ac:dyDescent="0.25">
      <c r="A13" s="224" t="s">
        <v>21</v>
      </c>
      <c r="B13" s="82" t="s">
        <v>14</v>
      </c>
      <c r="C13" s="95">
        <v>4.05</v>
      </c>
      <c r="D13" s="96">
        <v>3.95</v>
      </c>
      <c r="E13" s="96">
        <v>3.87</v>
      </c>
      <c r="F13" s="96">
        <v>3.82</v>
      </c>
      <c r="G13" s="96">
        <v>3.47</v>
      </c>
      <c r="H13" s="96">
        <v>3.64</v>
      </c>
      <c r="I13" s="96">
        <v>3.77</v>
      </c>
      <c r="J13" s="96">
        <v>3.71</v>
      </c>
      <c r="K13" s="96">
        <v>3.59</v>
      </c>
      <c r="L13" s="96">
        <v>3.66</v>
      </c>
      <c r="M13" s="96">
        <v>3.65</v>
      </c>
      <c r="N13" s="96">
        <v>3.69</v>
      </c>
      <c r="O13" s="99">
        <f t="shared" si="1"/>
        <v>3.7391666666666663</v>
      </c>
      <c r="P13" s="118"/>
      <c r="R13" s="136" t="s">
        <v>74</v>
      </c>
      <c r="S13" s="132"/>
    </row>
    <row r="14" spans="1:22" ht="15" x14ac:dyDescent="0.25">
      <c r="A14" s="225"/>
      <c r="B14" s="74" t="s">
        <v>17</v>
      </c>
      <c r="C14" s="157">
        <f>('2017 Website'!C13-'2016 Website'!N10)/'2016 Website'!N10</f>
        <v>0.53992395437262353</v>
      </c>
      <c r="D14" s="75">
        <f t="shared" ref="D14:N14" si="4">(D13-C13)/C13</f>
        <v>-2.469135802469127E-2</v>
      </c>
      <c r="E14" s="75">
        <f t="shared" si="4"/>
        <v>-2.0253164556962043E-2</v>
      </c>
      <c r="F14" s="75">
        <f t="shared" si="4"/>
        <v>-1.2919896640826942E-2</v>
      </c>
      <c r="G14" s="75">
        <f t="shared" si="4"/>
        <v>-9.1623036649214576E-2</v>
      </c>
      <c r="H14" s="78">
        <f t="shared" si="4"/>
        <v>4.8991354466858768E-2</v>
      </c>
      <c r="I14" s="78">
        <f t="shared" si="4"/>
        <v>3.5714285714285685E-2</v>
      </c>
      <c r="J14" s="75">
        <f t="shared" si="4"/>
        <v>-1.5915119363395239E-2</v>
      </c>
      <c r="K14" s="75">
        <f t="shared" si="4"/>
        <v>-3.2345013477088978E-2</v>
      </c>
      <c r="L14" s="78">
        <f t="shared" si="4"/>
        <v>1.9498607242339913E-2</v>
      </c>
      <c r="M14" s="75">
        <f t="shared" si="4"/>
        <v>-2.7322404371585328E-3</v>
      </c>
      <c r="N14" s="78">
        <f t="shared" si="4"/>
        <v>1.0958904109589052E-2</v>
      </c>
      <c r="O14" s="77">
        <f>AVERAGE(C14:N14)</f>
        <v>3.7883939729696621E-2</v>
      </c>
      <c r="P14" s="116"/>
      <c r="R14" s="135"/>
      <c r="S14" s="94"/>
    </row>
    <row r="15" spans="1:22" thickBot="1" x14ac:dyDescent="0.3">
      <c r="A15" s="226"/>
      <c r="B15" s="88" t="s">
        <v>18</v>
      </c>
      <c r="C15" s="156">
        <f>(C13-'2016 Website'!C10)/'2016 Website'!C10</f>
        <v>2.2727272727272693E-2</v>
      </c>
      <c r="D15" s="156">
        <f>(D13-'2016 Website'!D10)/'2016 Website'!D10</f>
        <v>1.8041237113402137E-2</v>
      </c>
      <c r="E15" s="178">
        <f>(E13-'2016 Website'!E10)/'2016 Website'!E10</f>
        <v>-2.5773195876288113E-3</v>
      </c>
      <c r="F15" s="156">
        <f>(F13-'2016 Website'!F10)/'2016 Website'!F10</f>
        <v>6.111111111111104E-2</v>
      </c>
      <c r="G15" s="156">
        <f>(G13-'2016 Website'!G10)/'2016 Website'!G10</f>
        <v>3.2738095238095337E-2</v>
      </c>
      <c r="H15" s="156">
        <f>(H13-'2016 Website'!H10)/'2016 Website'!H10</f>
        <v>0.51037344398340245</v>
      </c>
      <c r="I15" s="156">
        <f>(I13-'2016 Website'!I10)/'2016 Website'!I10</f>
        <v>0.12537313432835817</v>
      </c>
      <c r="J15" s="156">
        <f>(J13-'2016 Website'!J10)/'2016 Website'!J10</f>
        <v>3.055555555555552E-2</v>
      </c>
      <c r="K15" s="156">
        <f>(K13-'2016 Website'!K10)/'2016 Website'!K10</f>
        <v>-2.7777777777778421E-3</v>
      </c>
      <c r="L15" s="156">
        <f>(L13-'2016 Website'!L10)/'2016 Website'!L10</f>
        <v>0.27972027972027985</v>
      </c>
      <c r="M15" s="156">
        <f>(M13-'2016 Website'!M10)/'2016 Website'!M10</f>
        <v>0.34191176470588225</v>
      </c>
      <c r="N15" s="156">
        <f>(N13-'2016 Website'!N10)/'2016 Website'!N10</f>
        <v>0.40304182509505709</v>
      </c>
      <c r="O15" s="77">
        <f>AVERAGE(C15:N15)</f>
        <v>0.15168655185108418</v>
      </c>
      <c r="P15" s="117"/>
      <c r="R15" s="135"/>
      <c r="S15" s="160"/>
    </row>
    <row r="16" spans="1:22" ht="15" x14ac:dyDescent="0.25">
      <c r="A16" s="224" t="s">
        <v>23</v>
      </c>
      <c r="B16" s="82" t="s">
        <v>14</v>
      </c>
      <c r="C16" s="97">
        <v>3.44</v>
      </c>
      <c r="D16" s="98">
        <v>3.35</v>
      </c>
      <c r="E16" s="98">
        <v>3.32</v>
      </c>
      <c r="F16" s="98">
        <v>3.24</v>
      </c>
      <c r="G16" s="98">
        <v>3.05</v>
      </c>
      <c r="H16" s="98">
        <v>3.12</v>
      </c>
      <c r="I16" s="98">
        <v>3.24</v>
      </c>
      <c r="J16" s="98">
        <v>3.19</v>
      </c>
      <c r="K16" s="98">
        <v>3.13</v>
      </c>
      <c r="L16" s="98">
        <v>3.23</v>
      </c>
      <c r="M16" s="98">
        <v>3.19</v>
      </c>
      <c r="N16" s="98">
        <v>3.17</v>
      </c>
      <c r="O16" s="99">
        <f>AVERAGE(C16:N16)</f>
        <v>3.2224999999999997</v>
      </c>
      <c r="P16" s="118"/>
      <c r="R16" s="182" t="s">
        <v>75</v>
      </c>
      <c r="S16" s="132"/>
    </row>
    <row r="17" spans="1:22" ht="15" x14ac:dyDescent="0.25">
      <c r="A17" s="225"/>
      <c r="B17" s="74" t="s">
        <v>17</v>
      </c>
      <c r="C17" s="155">
        <f>(C16-'2016 Website'!N12)/'2016 Website'!N12</f>
        <v>0.58525345622119818</v>
      </c>
      <c r="D17" s="75">
        <f t="shared" ref="D17:I17" si="5">(D16-C16)/C16</f>
        <v>-2.6162790697674378E-2</v>
      </c>
      <c r="E17" s="75">
        <f t="shared" si="5"/>
        <v>-8.9552238805970883E-3</v>
      </c>
      <c r="F17" s="75">
        <f t="shared" si="5"/>
        <v>-2.4096385542168565E-2</v>
      </c>
      <c r="G17" s="75">
        <f t="shared" si="5"/>
        <v>-5.864197530864209E-2</v>
      </c>
      <c r="H17" s="78">
        <f t="shared" si="5"/>
        <v>2.2950819672131244E-2</v>
      </c>
      <c r="I17" s="78">
        <f t="shared" si="5"/>
        <v>3.8461538461538491E-2</v>
      </c>
      <c r="J17" s="75">
        <f t="shared" ref="J17" si="6">(J16-I16)/I16</f>
        <v>-1.5432098765432179E-2</v>
      </c>
      <c r="K17" s="75">
        <f t="shared" ref="K17:N17" si="7">(K16-J16)/J16</f>
        <v>-1.8808777429467103E-2</v>
      </c>
      <c r="L17" s="78">
        <f t="shared" si="7"/>
        <v>3.1948881789137407E-2</v>
      </c>
      <c r="M17" s="75">
        <f t="shared" si="7"/>
        <v>-1.2383900928792581E-2</v>
      </c>
      <c r="N17" s="75">
        <f t="shared" si="7"/>
        <v>-6.269592476489034E-3</v>
      </c>
      <c r="O17" s="77">
        <f t="shared" si="1"/>
        <v>4.2321995926228519E-2</v>
      </c>
      <c r="P17" s="110"/>
      <c r="R17" s="137"/>
      <c r="S17" s="100"/>
    </row>
    <row r="18" spans="1:22" thickBot="1" x14ac:dyDescent="0.3">
      <c r="A18" s="226"/>
      <c r="B18" s="88" t="s">
        <v>18</v>
      </c>
      <c r="C18" s="156">
        <f>(C16-'2016 Website'!C12)/'2016 Website'!C12</f>
        <v>8.8607594936708792E-2</v>
      </c>
      <c r="D18" s="156">
        <f>(D16-'2016 Website'!D12)/'2016 Website'!D12</f>
        <v>3.3950617283950574E-2</v>
      </c>
      <c r="E18" s="156">
        <f>(E16-'2016 Website'!E12)/'2016 Website'!E12</f>
        <v>1.5290519877675787E-2</v>
      </c>
      <c r="F18" s="156">
        <f>(F16-'2016 Website'!F12)/'2016 Website'!F12</f>
        <v>3.8461538461538491E-2</v>
      </c>
      <c r="G18" s="156">
        <f>(G16-'2016 Website'!G12)/'2016 Website'!G12</f>
        <v>6.6006600660066068E-3</v>
      </c>
      <c r="H18" s="156">
        <f>(H16-'2016 Website'!H12)/'2016 Website'!H12</f>
        <v>1.0939597315436242</v>
      </c>
      <c r="I18" s="156">
        <f>(I16-'2016 Website'!I12)/'2016 Website'!I12</f>
        <v>5.8823529411764754E-2</v>
      </c>
      <c r="J18" s="158">
        <f>(J16-'2016 Website'!J12)/'2016 Website'!J12</f>
        <v>-9.3167701863354803E-3</v>
      </c>
      <c r="K18" s="158">
        <f>(K16-'2016 Website'!K12)/'2016 Website'!K12</f>
        <v>-2.1875000000000089E-2</v>
      </c>
      <c r="L18" s="156">
        <f>(L16-'2016 Website'!L12)/'2016 Website'!L12</f>
        <v>0.38034188034188043</v>
      </c>
      <c r="M18" s="156">
        <f>(M16-'2016 Website'!M12)/'2016 Website'!M12</f>
        <v>0.43049327354260086</v>
      </c>
      <c r="N18" s="156">
        <f>(N16-'2016 Website'!N12)/'2016 Website'!N12</f>
        <v>0.46082949308755761</v>
      </c>
      <c r="O18" s="89">
        <f t="shared" si="1"/>
        <v>0.21468058903058104</v>
      </c>
      <c r="P18" s="111"/>
      <c r="R18" s="137"/>
      <c r="S18" s="100"/>
    </row>
    <row r="19" spans="1:22" s="18" customFormat="1" ht="16.5" thickBot="1" x14ac:dyDescent="0.3">
      <c r="A19" s="150" t="s">
        <v>80</v>
      </c>
      <c r="B19" s="102"/>
      <c r="C19" s="103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5"/>
      <c r="P19" s="149"/>
      <c r="Q19" s="17"/>
      <c r="R19" s="138"/>
      <c r="S19" s="139"/>
    </row>
    <row r="20" spans="1:22" ht="15" x14ac:dyDescent="0.25">
      <c r="A20" s="222" t="s">
        <v>33</v>
      </c>
      <c r="B20" s="82" t="s">
        <v>14</v>
      </c>
      <c r="C20" s="106">
        <v>4.0000000000000001E-3</v>
      </c>
      <c r="D20" s="107">
        <v>4.4000000000000003E-3</v>
      </c>
      <c r="E20" s="107">
        <v>5.1999999999999998E-3</v>
      </c>
      <c r="F20" s="107">
        <v>4.4000000000000003E-3</v>
      </c>
      <c r="G20" s="107">
        <v>3.3999999999999998E-3</v>
      </c>
      <c r="H20" s="107">
        <v>3.8999999999999998E-3</v>
      </c>
      <c r="I20" s="219"/>
      <c r="J20" s="219"/>
      <c r="K20" s="219"/>
      <c r="L20" s="219"/>
      <c r="M20" s="219"/>
      <c r="N20" s="219"/>
      <c r="O20" s="108">
        <f t="shared" si="1"/>
        <v>4.2166666666666672E-3</v>
      </c>
      <c r="P20" s="109"/>
      <c r="R20" s="140"/>
      <c r="S20" s="132"/>
    </row>
    <row r="21" spans="1:22" thickBot="1" x14ac:dyDescent="0.3">
      <c r="A21" s="223"/>
      <c r="B21" s="74" t="s">
        <v>17</v>
      </c>
      <c r="C21" s="155">
        <f>(C20-'2016 Website'!N17)/'2016 Website'!N17</f>
        <v>0.81818181818181812</v>
      </c>
      <c r="D21" s="78">
        <f t="shared" ref="D21:H21" si="8">(D20-C20)/C20</f>
        <v>0.10000000000000005</v>
      </c>
      <c r="E21" s="78">
        <f t="shared" si="8"/>
        <v>0.18181818181818168</v>
      </c>
      <c r="F21" s="75">
        <f t="shared" si="8"/>
        <v>-0.15384615384615374</v>
      </c>
      <c r="G21" s="75">
        <f t="shared" si="8"/>
        <v>-0.22727272727272738</v>
      </c>
      <c r="H21" s="78">
        <f t="shared" si="8"/>
        <v>0.14705882352941177</v>
      </c>
      <c r="I21" s="75"/>
      <c r="J21" s="76"/>
      <c r="K21" s="76"/>
      <c r="L21" s="76"/>
      <c r="M21" s="76"/>
      <c r="N21" s="76"/>
      <c r="O21" s="77">
        <f t="shared" si="1"/>
        <v>0.14432332373508841</v>
      </c>
      <c r="P21" s="110"/>
      <c r="R21" s="137"/>
      <c r="S21" s="100"/>
    </row>
    <row r="22" spans="1:22" ht="15" x14ac:dyDescent="0.25">
      <c r="A22" s="222" t="s">
        <v>45</v>
      </c>
      <c r="B22" s="82" t="s">
        <v>14</v>
      </c>
      <c r="C22" s="119">
        <v>212316.12</v>
      </c>
      <c r="D22" s="120">
        <v>302068.25</v>
      </c>
      <c r="E22" s="120">
        <v>199407.96</v>
      </c>
      <c r="F22" s="120">
        <v>274070</v>
      </c>
      <c r="G22" s="120">
        <v>311920.49</v>
      </c>
      <c r="H22" s="120">
        <v>169495</v>
      </c>
      <c r="I22" s="220"/>
      <c r="J22" s="220"/>
      <c r="K22" s="220"/>
      <c r="L22" s="220"/>
      <c r="M22" s="220"/>
      <c r="N22" s="220"/>
      <c r="O22" s="121">
        <f>AVERAGE(C22:N22)</f>
        <v>244879.63666666663</v>
      </c>
      <c r="P22" s="122">
        <f>SUM(C22:N22)</f>
        <v>1469277.8199999998</v>
      </c>
      <c r="R22" s="141"/>
      <c r="S22" s="132"/>
    </row>
    <row r="23" spans="1:22" thickBot="1" x14ac:dyDescent="0.3">
      <c r="A23" s="223"/>
      <c r="B23" s="74" t="s">
        <v>17</v>
      </c>
      <c r="C23" s="155">
        <f>(C22-'2016 Website'!N19)/'2016 Website'!N19</f>
        <v>0.84270196146502341</v>
      </c>
      <c r="D23" s="78">
        <f t="shared" ref="D23:I23" si="9">(D22-C22)/C22</f>
        <v>0.42272875936127696</v>
      </c>
      <c r="E23" s="75">
        <f t="shared" si="9"/>
        <v>-0.33985792945799503</v>
      </c>
      <c r="F23" s="78">
        <f t="shared" si="9"/>
        <v>0.37441855380296762</v>
      </c>
      <c r="G23" s="78">
        <f t="shared" si="9"/>
        <v>0.13810519210420691</v>
      </c>
      <c r="H23" s="75">
        <f t="shared" si="9"/>
        <v>-0.45660831707464938</v>
      </c>
      <c r="I23" s="75">
        <f t="shared" si="9"/>
        <v>-1</v>
      </c>
      <c r="J23" s="75" t="e">
        <f t="shared" ref="J23" si="10">(J22-I22)/I22</f>
        <v>#DIV/0!</v>
      </c>
      <c r="K23" s="78" t="e">
        <f t="shared" ref="K23:L23" si="11">(K22-J22)/J22</f>
        <v>#DIV/0!</v>
      </c>
      <c r="L23" s="75" t="e">
        <f t="shared" si="11"/>
        <v>#DIV/0!</v>
      </c>
      <c r="M23" s="76"/>
      <c r="N23" s="76"/>
      <c r="O23" s="77" t="e">
        <f t="shared" si="1"/>
        <v>#DIV/0!</v>
      </c>
      <c r="P23" s="110"/>
      <c r="R23" s="137"/>
      <c r="S23" s="100"/>
    </row>
    <row r="24" spans="1:22" ht="15" x14ac:dyDescent="0.25">
      <c r="A24" s="222" t="s">
        <v>26</v>
      </c>
      <c r="B24" s="82" t="s">
        <v>14</v>
      </c>
      <c r="C24" s="212">
        <v>0.4572</v>
      </c>
      <c r="D24" s="217">
        <v>0.44940000000000002</v>
      </c>
      <c r="E24" s="213">
        <v>0.43769999999999998</v>
      </c>
      <c r="F24" s="213">
        <v>0.43209999999999998</v>
      </c>
      <c r="G24" s="213">
        <v>0.44929999999999998</v>
      </c>
      <c r="H24" s="213">
        <v>0.45250000000000001</v>
      </c>
      <c r="I24" s="213">
        <v>0.48670000000000002</v>
      </c>
      <c r="J24" s="213">
        <v>0.49469999999999997</v>
      </c>
      <c r="K24" s="213">
        <v>0.4889</v>
      </c>
      <c r="L24" s="92">
        <v>0.47549999999999998</v>
      </c>
      <c r="M24" s="92"/>
      <c r="N24" s="92"/>
      <c r="O24" s="93">
        <f t="shared" si="1"/>
        <v>0.46239999999999998</v>
      </c>
      <c r="P24" s="115"/>
      <c r="R24" s="134"/>
      <c r="S24" s="132"/>
    </row>
    <row r="25" spans="1:22" thickBot="1" x14ac:dyDescent="0.3">
      <c r="A25" s="223"/>
      <c r="B25" s="74" t="s">
        <v>17</v>
      </c>
      <c r="C25" s="161">
        <f>(C24-'2016 Website'!N21)/'2016 Website'!N21</f>
        <v>2.6315789473683746E-3</v>
      </c>
      <c r="D25" s="79">
        <f t="shared" ref="D25:I25" si="12">(D24-C24)/C24</f>
        <v>-1.7060367454068182E-2</v>
      </c>
      <c r="E25" s="79">
        <f t="shared" si="12"/>
        <v>-2.6034712950600898E-2</v>
      </c>
      <c r="F25" s="79">
        <f t="shared" si="12"/>
        <v>-1.2794151245145062E-2</v>
      </c>
      <c r="G25" s="81">
        <f t="shared" si="12"/>
        <v>3.9805600555426972E-2</v>
      </c>
      <c r="H25" s="81">
        <f t="shared" si="12"/>
        <v>7.1221900734476659E-3</v>
      </c>
      <c r="I25" s="81">
        <f t="shared" si="12"/>
        <v>7.558011049723759E-2</v>
      </c>
      <c r="J25" s="81">
        <f>(J24-I24)/I24</f>
        <v>1.6437230326689853E-2</v>
      </c>
      <c r="K25" s="79">
        <f t="shared" ref="K25:L25" si="13">(K24-J24)/J24</f>
        <v>-1.1724277339801845E-2</v>
      </c>
      <c r="L25" s="79">
        <f t="shared" si="13"/>
        <v>-2.7408467989363926E-2</v>
      </c>
      <c r="M25" s="80"/>
      <c r="N25" s="80"/>
      <c r="O25" s="77">
        <f t="shared" si="1"/>
        <v>4.6554733421190538E-3</v>
      </c>
      <c r="P25" s="113"/>
      <c r="R25" s="133"/>
      <c r="S25" s="87"/>
    </row>
    <row r="26" spans="1:22" ht="15" x14ac:dyDescent="0.25">
      <c r="A26" s="222" t="s">
        <v>57</v>
      </c>
      <c r="B26" s="82" t="s">
        <v>14</v>
      </c>
      <c r="C26" s="123">
        <v>178</v>
      </c>
      <c r="D26" s="124">
        <v>171</v>
      </c>
      <c r="E26" s="125">
        <v>235</v>
      </c>
      <c r="F26" s="125">
        <v>174</v>
      </c>
      <c r="G26" s="125">
        <v>162</v>
      </c>
      <c r="H26" s="125">
        <v>162</v>
      </c>
      <c r="I26" s="218"/>
      <c r="J26" s="218"/>
      <c r="K26" s="218"/>
      <c r="L26" s="218"/>
      <c r="M26" s="218"/>
      <c r="N26" s="218"/>
      <c r="O26" s="91">
        <f t="shared" si="1"/>
        <v>180.33333333333334</v>
      </c>
      <c r="P26" s="183">
        <f>SUM(C26:N26)</f>
        <v>1082</v>
      </c>
      <c r="R26" s="131">
        <v>1500</v>
      </c>
      <c r="S26" s="132">
        <f>P26/R26</f>
        <v>0.72133333333333338</v>
      </c>
      <c r="U26" s="61">
        <f>R26/12</f>
        <v>125</v>
      </c>
      <c r="V26" s="61"/>
    </row>
    <row r="27" spans="1:22" thickBot="1" x14ac:dyDescent="0.3">
      <c r="A27" s="223"/>
      <c r="B27" s="74" t="s">
        <v>17</v>
      </c>
      <c r="C27" s="155">
        <f>(C26-'2016 Website'!N23)/'2016 Website'!N23</f>
        <v>0.33834586466165412</v>
      </c>
      <c r="D27" s="81">
        <f t="shared" ref="D27:I27" si="14">(D26-C26)/C26</f>
        <v>-3.9325842696629212E-2</v>
      </c>
      <c r="E27" s="79">
        <f t="shared" si="14"/>
        <v>0.3742690058479532</v>
      </c>
      <c r="F27" s="81">
        <f t="shared" si="14"/>
        <v>-0.25957446808510637</v>
      </c>
      <c r="G27" s="81">
        <f t="shared" si="14"/>
        <v>-6.8965517241379309E-2</v>
      </c>
      <c r="H27" s="80">
        <f t="shared" si="14"/>
        <v>0</v>
      </c>
      <c r="I27" s="81">
        <f t="shared" si="14"/>
        <v>-1</v>
      </c>
      <c r="J27" s="79" t="e">
        <f t="shared" ref="J27" si="15">(J26-I26)/I26</f>
        <v>#DIV/0!</v>
      </c>
      <c r="K27" s="81" t="e">
        <f t="shared" ref="K27" si="16">(K26-J26)/J26</f>
        <v>#DIV/0!</v>
      </c>
      <c r="L27" s="80"/>
      <c r="M27" s="80"/>
      <c r="N27" s="80"/>
      <c r="O27" s="77" t="e">
        <f t="shared" si="1"/>
        <v>#DIV/0!</v>
      </c>
      <c r="P27" s="110"/>
      <c r="R27" s="137"/>
      <c r="S27" s="100"/>
      <c r="U27" s="61"/>
    </row>
    <row r="28" spans="1:22" ht="15" x14ac:dyDescent="0.25">
      <c r="A28" s="222" t="s">
        <v>28</v>
      </c>
      <c r="B28" s="82" t="s">
        <v>14</v>
      </c>
      <c r="C28" s="85">
        <v>203</v>
      </c>
      <c r="D28" s="96">
        <v>198</v>
      </c>
      <c r="E28" s="128">
        <v>265</v>
      </c>
      <c r="F28" s="128">
        <v>190</v>
      </c>
      <c r="G28" s="128">
        <v>210</v>
      </c>
      <c r="H28" s="128">
        <v>218</v>
      </c>
      <c r="I28" s="128">
        <v>163</v>
      </c>
      <c r="J28" s="128">
        <v>152</v>
      </c>
      <c r="K28" s="128">
        <v>199</v>
      </c>
      <c r="L28" s="128">
        <v>197</v>
      </c>
      <c r="M28" s="128">
        <v>209</v>
      </c>
      <c r="N28" s="128">
        <v>157</v>
      </c>
      <c r="O28" s="91">
        <f t="shared" si="1"/>
        <v>196.75</v>
      </c>
      <c r="P28" s="126">
        <f>SUM(C28:N28)</f>
        <v>2361</v>
      </c>
      <c r="R28" s="131">
        <v>2200</v>
      </c>
      <c r="S28" s="132">
        <f>P28/R28</f>
        <v>1.0731818181818182</v>
      </c>
      <c r="U28" s="61">
        <f>R28/12</f>
        <v>183.33333333333334</v>
      </c>
    </row>
    <row r="29" spans="1:22" thickBot="1" x14ac:dyDescent="0.3">
      <c r="A29" s="223"/>
      <c r="B29" s="74" t="s">
        <v>17</v>
      </c>
      <c r="C29" s="155">
        <f>(C28-'2016 Website'!N25)/'2016 Website'!N25</f>
        <v>4.1025641025641026E-2</v>
      </c>
      <c r="D29" s="81">
        <f t="shared" ref="D29:N29" si="17">(D28-C28)/C28</f>
        <v>-2.4630541871921183E-2</v>
      </c>
      <c r="E29" s="79">
        <f t="shared" si="17"/>
        <v>0.3383838383838384</v>
      </c>
      <c r="F29" s="81">
        <f t="shared" si="17"/>
        <v>-0.28301886792452829</v>
      </c>
      <c r="G29" s="79">
        <f t="shared" si="17"/>
        <v>0.10526315789473684</v>
      </c>
      <c r="H29" s="79">
        <f t="shared" si="17"/>
        <v>3.8095238095238099E-2</v>
      </c>
      <c r="I29" s="79">
        <f t="shared" si="17"/>
        <v>-0.25229357798165136</v>
      </c>
      <c r="J29" s="81">
        <f t="shared" si="17"/>
        <v>-6.7484662576687116E-2</v>
      </c>
      <c r="K29" s="79">
        <f t="shared" si="17"/>
        <v>0.30921052631578949</v>
      </c>
      <c r="L29" s="81">
        <f t="shared" si="17"/>
        <v>-1.0050251256281407E-2</v>
      </c>
      <c r="M29" s="79">
        <f t="shared" si="17"/>
        <v>6.0913705583756347E-2</v>
      </c>
      <c r="N29" s="81">
        <f t="shared" si="17"/>
        <v>-0.24880382775119617</v>
      </c>
      <c r="O29" s="77">
        <f t="shared" si="1"/>
        <v>5.5086482806122189E-4</v>
      </c>
      <c r="P29" s="110"/>
      <c r="R29" s="137"/>
      <c r="S29" s="100"/>
      <c r="U29" s="61"/>
    </row>
    <row r="30" spans="1:22" ht="15" x14ac:dyDescent="0.25">
      <c r="A30" s="222" t="s">
        <v>29</v>
      </c>
      <c r="B30" s="82" t="s">
        <v>14</v>
      </c>
      <c r="C30" s="85">
        <v>109</v>
      </c>
      <c r="D30" s="96">
        <v>90</v>
      </c>
      <c r="E30" s="128">
        <v>108</v>
      </c>
      <c r="F30" s="128">
        <v>120</v>
      </c>
      <c r="G30" s="128">
        <v>102</v>
      </c>
      <c r="H30" s="128">
        <v>95</v>
      </c>
      <c r="I30" s="128">
        <v>91</v>
      </c>
      <c r="J30" s="128">
        <v>82</v>
      </c>
      <c r="K30" s="128">
        <v>122</v>
      </c>
      <c r="L30" s="128">
        <v>104</v>
      </c>
      <c r="M30" s="128">
        <v>87</v>
      </c>
      <c r="N30" s="128">
        <v>80</v>
      </c>
      <c r="O30" s="91">
        <f t="shared" si="1"/>
        <v>99.166666666666671</v>
      </c>
      <c r="P30" s="126">
        <f>SUM(C30:N30)</f>
        <v>1190</v>
      </c>
      <c r="R30" s="142"/>
      <c r="S30" s="143"/>
      <c r="U30" s="61"/>
    </row>
    <row r="31" spans="1:22" thickBot="1" x14ac:dyDescent="0.3">
      <c r="A31" s="223"/>
      <c r="B31" s="74" t="s">
        <v>17</v>
      </c>
      <c r="C31" s="155">
        <f>(C30-'2016 Website'!N27)/'2016 Website'!N27</f>
        <v>7.9207920792079209E-2</v>
      </c>
      <c r="D31" s="81">
        <f t="shared" ref="D31:N31" si="18">(D30-C30)/C30</f>
        <v>-0.1743119266055046</v>
      </c>
      <c r="E31" s="79">
        <f t="shared" si="18"/>
        <v>0.2</v>
      </c>
      <c r="F31" s="79">
        <f t="shared" si="18"/>
        <v>0.1111111111111111</v>
      </c>
      <c r="G31" s="81">
        <f t="shared" si="18"/>
        <v>-0.15</v>
      </c>
      <c r="H31" s="81">
        <f t="shared" si="18"/>
        <v>-6.8627450980392163E-2</v>
      </c>
      <c r="I31" s="81">
        <f t="shared" si="18"/>
        <v>-4.2105263157894736E-2</v>
      </c>
      <c r="J31" s="81">
        <f t="shared" si="18"/>
        <v>-9.8901098901098897E-2</v>
      </c>
      <c r="K31" s="79">
        <f t="shared" si="18"/>
        <v>0.48780487804878048</v>
      </c>
      <c r="L31" s="81">
        <f t="shared" si="18"/>
        <v>-0.14754098360655737</v>
      </c>
      <c r="M31" s="81">
        <f t="shared" si="18"/>
        <v>-0.16346153846153846</v>
      </c>
      <c r="N31" s="81">
        <f t="shared" si="18"/>
        <v>-8.0459770114942528E-2</v>
      </c>
      <c r="O31" s="77">
        <f t="shared" si="1"/>
        <v>-3.9403434896631622E-3</v>
      </c>
      <c r="P31" s="110"/>
      <c r="R31" s="137"/>
      <c r="S31" s="100"/>
      <c r="U31" s="61"/>
    </row>
    <row r="32" spans="1:22" ht="15" x14ac:dyDescent="0.25">
      <c r="A32" s="222" t="s">
        <v>30</v>
      </c>
      <c r="B32" s="82" t="s">
        <v>14</v>
      </c>
      <c r="C32" s="85">
        <v>220</v>
      </c>
      <c r="D32" s="128">
        <v>176</v>
      </c>
      <c r="E32" s="128">
        <v>207</v>
      </c>
      <c r="F32" s="128">
        <v>174</v>
      </c>
      <c r="G32" s="128">
        <v>166</v>
      </c>
      <c r="H32" s="128">
        <v>137</v>
      </c>
      <c r="I32" s="128">
        <v>139</v>
      </c>
      <c r="J32" s="128">
        <v>180</v>
      </c>
      <c r="K32" s="128">
        <v>153</v>
      </c>
      <c r="L32" s="128">
        <v>194</v>
      </c>
      <c r="M32" s="128">
        <v>149</v>
      </c>
      <c r="N32" s="128">
        <v>126</v>
      </c>
      <c r="O32" s="91">
        <f t="shared" si="1"/>
        <v>168.41666666666666</v>
      </c>
      <c r="P32" s="126">
        <f>SUM(C32:N32)</f>
        <v>2021</v>
      </c>
      <c r="R32" s="131">
        <v>1600</v>
      </c>
      <c r="S32" s="132">
        <f>P32/R32</f>
        <v>1.2631250000000001</v>
      </c>
      <c r="U32" s="61">
        <f t="shared" ref="U32" si="19">R32/12</f>
        <v>133.33333333333334</v>
      </c>
    </row>
    <row r="33" spans="1:21" thickBot="1" x14ac:dyDescent="0.3">
      <c r="A33" s="223"/>
      <c r="B33" s="74" t="s">
        <v>17</v>
      </c>
      <c r="C33" s="155">
        <f>(C32-'2016 Website'!N29)/'2016 Website'!N29</f>
        <v>0.61764705882352944</v>
      </c>
      <c r="D33" s="81">
        <f t="shared" ref="D33:N41" si="20">(D32-C32)/C32</f>
        <v>-0.2</v>
      </c>
      <c r="E33" s="79">
        <f t="shared" si="20"/>
        <v>0.17613636363636365</v>
      </c>
      <c r="F33" s="81">
        <f t="shared" si="20"/>
        <v>-0.15942028985507245</v>
      </c>
      <c r="G33" s="81">
        <f t="shared" si="20"/>
        <v>-4.5977011494252873E-2</v>
      </c>
      <c r="H33" s="81">
        <f t="shared" si="20"/>
        <v>-0.1746987951807229</v>
      </c>
      <c r="I33" s="79">
        <f t="shared" si="20"/>
        <v>1.4598540145985401E-2</v>
      </c>
      <c r="J33" s="79">
        <f t="shared" si="20"/>
        <v>0.29496402877697842</v>
      </c>
      <c r="K33" s="81">
        <f t="shared" si="20"/>
        <v>-0.15</v>
      </c>
      <c r="L33" s="79">
        <f t="shared" si="20"/>
        <v>0.26797385620915032</v>
      </c>
      <c r="M33" s="81">
        <f t="shared" si="20"/>
        <v>-0.23195876288659795</v>
      </c>
      <c r="N33" s="81">
        <f t="shared" si="20"/>
        <v>-0.15436241610738255</v>
      </c>
      <c r="O33" s="77">
        <f t="shared" si="1"/>
        <v>2.1241881005664872E-2</v>
      </c>
      <c r="P33" s="110"/>
      <c r="R33" s="137"/>
      <c r="S33" s="100"/>
      <c r="U33" s="61"/>
    </row>
    <row r="34" spans="1:21" ht="15" x14ac:dyDescent="0.25">
      <c r="A34" s="222" t="s">
        <v>31</v>
      </c>
      <c r="B34" s="82" t="s">
        <v>14</v>
      </c>
      <c r="C34" s="85">
        <v>38</v>
      </c>
      <c r="D34" s="128">
        <v>25</v>
      </c>
      <c r="E34" s="128">
        <v>33</v>
      </c>
      <c r="F34" s="128">
        <v>25</v>
      </c>
      <c r="G34" s="128">
        <v>26</v>
      </c>
      <c r="H34" s="128">
        <v>43</v>
      </c>
      <c r="I34" s="128">
        <v>36</v>
      </c>
      <c r="J34" s="128">
        <v>34</v>
      </c>
      <c r="K34" s="128">
        <v>37</v>
      </c>
      <c r="L34" s="128">
        <v>31</v>
      </c>
      <c r="M34" s="128">
        <v>28</v>
      </c>
      <c r="N34" s="128">
        <v>26</v>
      </c>
      <c r="O34" s="91">
        <f t="shared" si="1"/>
        <v>31.833333333333332</v>
      </c>
      <c r="P34" s="126">
        <f>SUM(C34:N34)</f>
        <v>382</v>
      </c>
      <c r="R34" s="142"/>
      <c r="S34" s="132"/>
    </row>
    <row r="35" spans="1:21" thickBot="1" x14ac:dyDescent="0.3">
      <c r="A35" s="223"/>
      <c r="B35" s="74" t="s">
        <v>17</v>
      </c>
      <c r="C35" s="155">
        <f>(C34-'2016 Website'!N31)/'2016 Website'!N31</f>
        <v>0.52</v>
      </c>
      <c r="D35" s="81">
        <f>(D34-C34)/C34</f>
        <v>-0.34210526315789475</v>
      </c>
      <c r="E35" s="79">
        <f t="shared" si="20"/>
        <v>0.32</v>
      </c>
      <c r="F35" s="81">
        <f t="shared" si="20"/>
        <v>-0.24242424242424243</v>
      </c>
      <c r="G35" s="79">
        <f t="shared" si="20"/>
        <v>0.04</v>
      </c>
      <c r="H35" s="79">
        <f t="shared" si="20"/>
        <v>0.65384615384615385</v>
      </c>
      <c r="I35" s="81">
        <f t="shared" si="20"/>
        <v>-0.16279069767441862</v>
      </c>
      <c r="J35" s="81">
        <f t="shared" si="20"/>
        <v>-5.5555555555555552E-2</v>
      </c>
      <c r="K35" s="79">
        <f t="shared" si="20"/>
        <v>8.8235294117647065E-2</v>
      </c>
      <c r="L35" s="81">
        <f t="shared" si="20"/>
        <v>-0.16216216216216217</v>
      </c>
      <c r="M35" s="81">
        <f t="shared" si="20"/>
        <v>-9.6774193548387094E-2</v>
      </c>
      <c r="N35" s="81">
        <f t="shared" si="20"/>
        <v>-7.1428571428571425E-2</v>
      </c>
      <c r="O35" s="77">
        <f t="shared" si="1"/>
        <v>4.0736730167714071E-2</v>
      </c>
      <c r="P35" s="110"/>
      <c r="R35" s="137"/>
      <c r="S35" s="100"/>
    </row>
    <row r="36" spans="1:21" ht="15" x14ac:dyDescent="0.25">
      <c r="A36" s="222" t="s">
        <v>32</v>
      </c>
      <c r="B36" s="82" t="s">
        <v>14</v>
      </c>
      <c r="C36" s="85">
        <v>16</v>
      </c>
      <c r="D36" s="128">
        <v>16</v>
      </c>
      <c r="E36" s="128">
        <v>20</v>
      </c>
      <c r="F36" s="128">
        <v>24</v>
      </c>
      <c r="G36" s="128">
        <v>24</v>
      </c>
      <c r="H36" s="128">
        <v>16</v>
      </c>
      <c r="I36" s="128">
        <v>13</v>
      </c>
      <c r="J36" s="128">
        <v>15</v>
      </c>
      <c r="K36" s="128">
        <v>18</v>
      </c>
      <c r="L36" s="128">
        <v>22</v>
      </c>
      <c r="M36" s="128">
        <v>19</v>
      </c>
      <c r="N36" s="128">
        <v>13</v>
      </c>
      <c r="O36" s="91">
        <f t="shared" si="1"/>
        <v>18</v>
      </c>
      <c r="P36" s="126">
        <f>SUM(C36:N36)</f>
        <v>216</v>
      </c>
      <c r="R36" s="142"/>
      <c r="S36" s="132"/>
    </row>
    <row r="37" spans="1:21" thickBot="1" x14ac:dyDescent="0.3">
      <c r="A37" s="223"/>
      <c r="B37" s="74" t="s">
        <v>17</v>
      </c>
      <c r="C37" s="155">
        <f>(C36-'2016 Website'!N33)/'2016 Website'!N33</f>
        <v>1.2857142857142858</v>
      </c>
      <c r="D37" s="80">
        <f t="shared" si="20"/>
        <v>0</v>
      </c>
      <c r="E37" s="79">
        <f t="shared" si="20"/>
        <v>0.25</v>
      </c>
      <c r="F37" s="79">
        <f t="shared" si="20"/>
        <v>0.2</v>
      </c>
      <c r="G37" s="207">
        <f t="shared" si="20"/>
        <v>0</v>
      </c>
      <c r="H37" s="81">
        <f t="shared" si="20"/>
        <v>-0.33333333333333331</v>
      </c>
      <c r="I37" s="81">
        <f t="shared" si="20"/>
        <v>-0.1875</v>
      </c>
      <c r="J37" s="79">
        <f t="shared" si="20"/>
        <v>0.15384615384615385</v>
      </c>
      <c r="K37" s="79">
        <f t="shared" si="20"/>
        <v>0.2</v>
      </c>
      <c r="L37" s="79">
        <f t="shared" si="20"/>
        <v>0.22222222222222221</v>
      </c>
      <c r="M37" s="81">
        <f t="shared" si="20"/>
        <v>-0.13636363636363635</v>
      </c>
      <c r="N37" s="81">
        <f t="shared" si="20"/>
        <v>-0.31578947368421051</v>
      </c>
      <c r="O37" s="77">
        <f t="shared" si="1"/>
        <v>0.1115663515334568</v>
      </c>
      <c r="P37" s="110"/>
      <c r="R37" s="137"/>
      <c r="S37" s="100"/>
    </row>
    <row r="38" spans="1:21" ht="15" x14ac:dyDescent="0.25">
      <c r="A38" s="230" t="s">
        <v>34</v>
      </c>
      <c r="B38" s="82" t="s">
        <v>14</v>
      </c>
      <c r="C38" s="85">
        <v>1464</v>
      </c>
      <c r="D38" s="128">
        <v>1316</v>
      </c>
      <c r="E38" s="128">
        <v>1646</v>
      </c>
      <c r="F38" s="128">
        <v>1339</v>
      </c>
      <c r="G38" s="128">
        <v>1236</v>
      </c>
      <c r="H38" s="128">
        <v>1173</v>
      </c>
      <c r="I38" s="128">
        <v>1077</v>
      </c>
      <c r="J38" s="128">
        <v>1191</v>
      </c>
      <c r="K38" s="128">
        <v>1093</v>
      </c>
      <c r="L38" s="128">
        <v>1177</v>
      </c>
      <c r="M38" s="128">
        <v>1167</v>
      </c>
      <c r="N38" s="128">
        <v>1102</v>
      </c>
      <c r="O38" s="91">
        <f t="shared" si="1"/>
        <v>1248.4166666666667</v>
      </c>
      <c r="P38" s="126">
        <f>SUM(C38:N38)</f>
        <v>14981</v>
      </c>
      <c r="R38" s="142"/>
      <c r="S38" s="132"/>
    </row>
    <row r="39" spans="1:21" thickBot="1" x14ac:dyDescent="0.3">
      <c r="A39" s="231"/>
      <c r="B39" s="88" t="s">
        <v>17</v>
      </c>
      <c r="C39" s="156">
        <f>(C38-'2016 Website'!N35)/'2016 Website'!N35</f>
        <v>0.41449275362318838</v>
      </c>
      <c r="D39" s="127">
        <f t="shared" si="20"/>
        <v>-0.10109289617486339</v>
      </c>
      <c r="E39" s="179">
        <f t="shared" si="20"/>
        <v>0.25075987841945291</v>
      </c>
      <c r="F39" s="127">
        <f t="shared" si="20"/>
        <v>-0.1865127582017011</v>
      </c>
      <c r="G39" s="127">
        <f t="shared" si="20"/>
        <v>-7.6923076923076927E-2</v>
      </c>
      <c r="H39" s="127">
        <f t="shared" si="20"/>
        <v>-5.0970873786407765E-2</v>
      </c>
      <c r="I39" s="127">
        <f t="shared" si="20"/>
        <v>-8.1841432225063945E-2</v>
      </c>
      <c r="J39" s="179">
        <f t="shared" si="20"/>
        <v>0.10584958217270195</v>
      </c>
      <c r="K39" s="127">
        <f t="shared" si="20"/>
        <v>-8.2283795130142737E-2</v>
      </c>
      <c r="L39" s="179">
        <f t="shared" si="20"/>
        <v>7.6852698993595606E-2</v>
      </c>
      <c r="M39" s="127">
        <f t="shared" si="20"/>
        <v>-8.4961767204757861E-3</v>
      </c>
      <c r="N39" s="127">
        <f t="shared" si="20"/>
        <v>-5.5698371893744644E-2</v>
      </c>
      <c r="O39" s="89">
        <f>AVERAGE(C39:N39)</f>
        <v>1.7011294346121877E-2</v>
      </c>
      <c r="P39" s="111"/>
      <c r="R39" s="144"/>
      <c r="S39" s="101"/>
    </row>
    <row r="40" spans="1:21" ht="15" x14ac:dyDescent="0.25">
      <c r="A40" s="230" t="s">
        <v>87</v>
      </c>
      <c r="B40" s="82" t="s">
        <v>14</v>
      </c>
      <c r="C40" s="201">
        <v>41685</v>
      </c>
      <c r="D40" s="206">
        <v>42047</v>
      </c>
      <c r="E40" s="206">
        <v>42452</v>
      </c>
      <c r="F40" s="206">
        <v>42747</v>
      </c>
      <c r="G40" s="206">
        <v>43138</v>
      </c>
      <c r="H40" s="206">
        <v>43736</v>
      </c>
      <c r="I40" s="206">
        <v>44007</v>
      </c>
      <c r="J40" s="206">
        <v>44199</v>
      </c>
      <c r="K40" s="206">
        <v>44675</v>
      </c>
      <c r="L40" s="206">
        <v>45094</v>
      </c>
      <c r="M40" s="206">
        <v>45501</v>
      </c>
      <c r="N40" s="206">
        <v>45804</v>
      </c>
      <c r="O40" s="91">
        <f t="shared" si="1"/>
        <v>43757.083333333336</v>
      </c>
      <c r="P40" s="202">
        <f>N40</f>
        <v>45804</v>
      </c>
      <c r="R40" s="142">
        <v>44000</v>
      </c>
      <c r="S40" s="132">
        <f>P40/R40</f>
        <v>1.0409999999999999</v>
      </c>
      <c r="U40" s="61">
        <f>R40/12</f>
        <v>3666.6666666666665</v>
      </c>
    </row>
    <row r="41" spans="1:21" thickBot="1" x14ac:dyDescent="0.3">
      <c r="A41" s="231"/>
      <c r="B41" s="88" t="s">
        <v>86</v>
      </c>
      <c r="C41" s="156"/>
      <c r="D41" s="179">
        <f t="shared" si="20"/>
        <v>8.6841789612570469E-3</v>
      </c>
      <c r="E41" s="179">
        <f t="shared" ref="E41" si="21">(E40-D40)/D40</f>
        <v>9.6320783884700448E-3</v>
      </c>
      <c r="F41" s="179">
        <f t="shared" ref="F41:N41" si="22">(F40-E40)/E40</f>
        <v>6.9490247809290496E-3</v>
      </c>
      <c r="G41" s="179">
        <f t="shared" si="22"/>
        <v>9.1468407139682316E-3</v>
      </c>
      <c r="H41" s="179">
        <f t="shared" si="22"/>
        <v>1.3862487829755668E-2</v>
      </c>
      <c r="I41" s="179">
        <f t="shared" si="22"/>
        <v>6.1962685202121819E-3</v>
      </c>
      <c r="J41" s="179">
        <f t="shared" si="22"/>
        <v>4.3629422591860388E-3</v>
      </c>
      <c r="K41" s="179">
        <f t="shared" si="22"/>
        <v>1.0769474422498246E-2</v>
      </c>
      <c r="L41" s="179">
        <f t="shared" si="22"/>
        <v>9.3788472299944046E-3</v>
      </c>
      <c r="M41" s="179">
        <f t="shared" si="22"/>
        <v>9.0255909877145525E-3</v>
      </c>
      <c r="N41" s="179">
        <f t="shared" si="22"/>
        <v>6.6591943034219024E-3</v>
      </c>
      <c r="O41" s="89">
        <f t="shared" ref="O41" si="23">AVERAGE(C41:N41)</f>
        <v>8.6060843997643067E-3</v>
      </c>
      <c r="P41" s="111"/>
      <c r="R41" s="144"/>
      <c r="S41" s="101"/>
    </row>
    <row r="42" spans="1:21" x14ac:dyDescent="0.25">
      <c r="A42" s="185"/>
      <c r="C42" s="186"/>
      <c r="D42" s="187"/>
      <c r="E42" s="188"/>
      <c r="F42" s="187"/>
      <c r="G42" s="189"/>
      <c r="H42" s="189"/>
      <c r="I42" s="189"/>
      <c r="J42" s="189"/>
      <c r="K42" s="189"/>
      <c r="L42" s="189"/>
      <c r="M42" s="189"/>
      <c r="N42" s="189"/>
      <c r="O42" s="190"/>
      <c r="P42" s="191"/>
      <c r="R42" s="191"/>
      <c r="S42" s="192"/>
    </row>
    <row r="43" spans="1:21" ht="16.5" thickBot="1" x14ac:dyDescent="0.3">
      <c r="A43" s="185"/>
      <c r="C43" s="186"/>
      <c r="D43" s="187"/>
      <c r="E43" s="188"/>
      <c r="F43" s="187"/>
      <c r="G43" s="189"/>
      <c r="H43" s="189"/>
      <c r="I43" s="189"/>
      <c r="J43" s="189"/>
      <c r="K43" s="189"/>
      <c r="L43" s="189"/>
      <c r="M43" s="189"/>
      <c r="N43" s="189"/>
      <c r="O43" s="190"/>
      <c r="P43" s="191"/>
      <c r="R43" s="191"/>
      <c r="S43" s="192"/>
    </row>
    <row r="44" spans="1:21" s="152" customFormat="1" ht="16.5" thickBot="1" x14ac:dyDescent="0.3">
      <c r="A44" s="164"/>
      <c r="B44" s="151"/>
      <c r="C44" s="151" t="s">
        <v>0</v>
      </c>
      <c r="D44" s="151" t="s">
        <v>1</v>
      </c>
      <c r="E44" s="151" t="s">
        <v>2</v>
      </c>
      <c r="F44" s="151" t="s">
        <v>3</v>
      </c>
      <c r="G44" s="151" t="s">
        <v>4</v>
      </c>
      <c r="H44" s="151" t="s">
        <v>5</v>
      </c>
      <c r="I44" s="151" t="s">
        <v>6</v>
      </c>
      <c r="J44" s="151" t="s">
        <v>7</v>
      </c>
      <c r="K44" s="151" t="s">
        <v>8</v>
      </c>
      <c r="L44" s="151" t="s">
        <v>9</v>
      </c>
      <c r="M44" s="151" t="s">
        <v>10</v>
      </c>
      <c r="N44" s="151" t="s">
        <v>11</v>
      </c>
      <c r="O44" s="151"/>
      <c r="P44" s="151" t="s">
        <v>46</v>
      </c>
      <c r="R44" s="153" t="s">
        <v>51</v>
      </c>
      <c r="S44" s="154" t="s">
        <v>59</v>
      </c>
    </row>
    <row r="45" spans="1:21" s="18" customFormat="1" ht="16.5" thickBot="1" x14ac:dyDescent="0.3">
      <c r="A45" s="193" t="s">
        <v>81</v>
      </c>
      <c r="B45" s="194"/>
      <c r="C45" s="195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7"/>
      <c r="P45" s="198"/>
      <c r="Q45" s="17"/>
      <c r="R45" s="199"/>
      <c r="S45" s="200"/>
    </row>
    <row r="46" spans="1:21" ht="15.75" customHeight="1" x14ac:dyDescent="0.25">
      <c r="A46" s="227" t="s">
        <v>77</v>
      </c>
      <c r="B46" s="82" t="s">
        <v>83</v>
      </c>
      <c r="C46" s="201">
        <v>81612</v>
      </c>
      <c r="D46" s="201">
        <v>82887</v>
      </c>
      <c r="E46" s="201">
        <v>85084</v>
      </c>
      <c r="F46" s="201">
        <v>89215</v>
      </c>
      <c r="G46" s="201">
        <v>90808</v>
      </c>
      <c r="H46" s="201">
        <v>99546</v>
      </c>
      <c r="I46" s="201">
        <v>100732</v>
      </c>
      <c r="J46" s="201">
        <v>101678</v>
      </c>
      <c r="K46" s="201">
        <v>102521</v>
      </c>
      <c r="L46" s="201">
        <v>103200</v>
      </c>
      <c r="M46" s="201">
        <v>103780</v>
      </c>
      <c r="N46" s="201"/>
      <c r="O46" s="108"/>
      <c r="P46" s="202">
        <f>N46</f>
        <v>0</v>
      </c>
      <c r="R46" s="162">
        <v>110000</v>
      </c>
      <c r="S46" s="86">
        <f>P46/R46</f>
        <v>0</v>
      </c>
    </row>
    <row r="47" spans="1:21" ht="16.5" customHeight="1" thickBot="1" x14ac:dyDescent="0.3">
      <c r="A47" s="228"/>
      <c r="B47" s="74" t="s">
        <v>17</v>
      </c>
      <c r="C47" s="155"/>
      <c r="D47" s="79">
        <f>(D46-C46)/C46</f>
        <v>1.5622702543743566E-2</v>
      </c>
      <c r="E47" s="79">
        <f t="shared" ref="E47:H47" si="24">(E46-D46)/D46</f>
        <v>2.6505965953647737E-2</v>
      </c>
      <c r="F47" s="79">
        <f t="shared" si="24"/>
        <v>4.8552019181044612E-2</v>
      </c>
      <c r="G47" s="79">
        <f t="shared" si="24"/>
        <v>1.7855741747463991E-2</v>
      </c>
      <c r="H47" s="79">
        <f t="shared" si="24"/>
        <v>9.6225002202449117E-2</v>
      </c>
      <c r="I47" s="79">
        <f t="shared" ref="I47" si="25">(I46-H46)/H46</f>
        <v>1.1914089968456793E-2</v>
      </c>
      <c r="J47" s="79">
        <f t="shared" ref="J47" si="26">(J46-I46)/I46</f>
        <v>9.3912560060358183E-3</v>
      </c>
      <c r="K47" s="79">
        <f t="shared" ref="K47" si="27">(K46-J46)/J46</f>
        <v>8.2908790495485746E-3</v>
      </c>
      <c r="L47" s="79">
        <f t="shared" ref="L47" si="28">(L46-K46)/K46</f>
        <v>6.6230333297568307E-3</v>
      </c>
      <c r="M47" s="79">
        <f t="shared" ref="M47" si="29">(M46-L46)/L46</f>
        <v>5.6201550387596898E-3</v>
      </c>
      <c r="N47" s="155"/>
      <c r="O47" s="77"/>
      <c r="P47" s="110"/>
      <c r="R47" s="137"/>
      <c r="S47" s="100"/>
    </row>
    <row r="48" spans="1:21" ht="15.75" customHeight="1" x14ac:dyDescent="0.25">
      <c r="A48" s="228" t="s">
        <v>78</v>
      </c>
      <c r="B48" s="82" t="s">
        <v>84</v>
      </c>
      <c r="C48" s="201">
        <v>1548</v>
      </c>
      <c r="D48" s="201">
        <v>1675</v>
      </c>
      <c r="E48" s="201">
        <v>1774</v>
      </c>
      <c r="F48" s="201">
        <v>1836</v>
      </c>
      <c r="G48" s="201">
        <v>1931</v>
      </c>
      <c r="H48" s="201">
        <v>2079</v>
      </c>
      <c r="I48" s="201">
        <v>2115</v>
      </c>
      <c r="J48" s="201">
        <v>2172</v>
      </c>
      <c r="K48" s="201">
        <v>2222</v>
      </c>
      <c r="L48" s="201">
        <v>2297</v>
      </c>
      <c r="M48" s="201">
        <v>2344</v>
      </c>
      <c r="N48" s="201"/>
      <c r="O48" s="108"/>
      <c r="P48" s="202">
        <f>N48</f>
        <v>0</v>
      </c>
      <c r="R48" s="131">
        <v>2500</v>
      </c>
      <c r="S48" s="132">
        <f>P48/R48</f>
        <v>0</v>
      </c>
    </row>
    <row r="49" spans="1:19" ht="16.5" customHeight="1" thickBot="1" x14ac:dyDescent="0.3">
      <c r="A49" s="228"/>
      <c r="B49" s="74" t="s">
        <v>17</v>
      </c>
      <c r="C49" s="155"/>
      <c r="D49" s="79">
        <f>(D48-C48)/C48</f>
        <v>8.2041343669250644E-2</v>
      </c>
      <c r="E49" s="79">
        <f t="shared" ref="E49:H49" si="30">(E48-D48)/D48</f>
        <v>5.91044776119403E-2</v>
      </c>
      <c r="F49" s="79">
        <f t="shared" si="30"/>
        <v>3.4949267192784669E-2</v>
      </c>
      <c r="G49" s="79">
        <f t="shared" si="30"/>
        <v>5.1742919389978215E-2</v>
      </c>
      <c r="H49" s="79">
        <f t="shared" si="30"/>
        <v>7.6644225789746251E-2</v>
      </c>
      <c r="I49" s="79">
        <f t="shared" ref="I49" si="31">(I48-H48)/H48</f>
        <v>1.7316017316017316E-2</v>
      </c>
      <c r="J49" s="79">
        <f t="shared" ref="J49" si="32">(J48-I48)/I48</f>
        <v>2.6950354609929079E-2</v>
      </c>
      <c r="K49" s="79">
        <f t="shared" ref="K49" si="33">(K48-J48)/J48</f>
        <v>2.3020257826887661E-2</v>
      </c>
      <c r="L49" s="79">
        <f t="shared" ref="L49" si="34">(L48-K48)/K48</f>
        <v>3.3753375337533753E-2</v>
      </c>
      <c r="M49" s="79">
        <f t="shared" ref="M49" si="35">(M48-L48)/L48</f>
        <v>2.0461471484545059E-2</v>
      </c>
      <c r="N49" s="155"/>
      <c r="O49" s="77"/>
      <c r="P49" s="110"/>
      <c r="R49" s="131"/>
      <c r="S49" s="132"/>
    </row>
    <row r="50" spans="1:19" ht="15.75" customHeight="1" x14ac:dyDescent="0.25">
      <c r="A50" s="228" t="s">
        <v>79</v>
      </c>
      <c r="B50" s="82" t="s">
        <v>84</v>
      </c>
      <c r="C50" s="201">
        <v>16204</v>
      </c>
      <c r="D50" s="201">
        <v>17130</v>
      </c>
      <c r="E50" s="201">
        <v>18397</v>
      </c>
      <c r="F50" s="201">
        <v>20216</v>
      </c>
      <c r="G50" s="201">
        <v>21576</v>
      </c>
      <c r="H50" s="201">
        <v>23838</v>
      </c>
      <c r="I50" s="201">
        <v>25257</v>
      </c>
      <c r="J50" s="201">
        <v>27599</v>
      </c>
      <c r="K50" s="201">
        <v>29487</v>
      </c>
      <c r="L50" s="201">
        <v>31065</v>
      </c>
      <c r="M50" s="201">
        <v>32654</v>
      </c>
      <c r="N50" s="201"/>
      <c r="O50" s="108"/>
      <c r="P50" s="202">
        <f>N50</f>
        <v>0</v>
      </c>
      <c r="R50" s="131">
        <v>22000</v>
      </c>
      <c r="S50" s="132">
        <f>P50/R50</f>
        <v>0</v>
      </c>
    </row>
    <row r="51" spans="1:19" ht="16.5" customHeight="1" thickBot="1" x14ac:dyDescent="0.3">
      <c r="A51" s="228"/>
      <c r="B51" s="74" t="s">
        <v>17</v>
      </c>
      <c r="C51" s="155"/>
      <c r="D51" s="79">
        <f>(D50-C50)/C50</f>
        <v>5.7146383608985434E-2</v>
      </c>
      <c r="E51" s="79">
        <f t="shared" ref="E51:H51" si="36">(E50-D50)/D50</f>
        <v>7.396380618797431E-2</v>
      </c>
      <c r="F51" s="79">
        <f t="shared" si="36"/>
        <v>9.8874816546176011E-2</v>
      </c>
      <c r="G51" s="79">
        <f t="shared" si="36"/>
        <v>6.727344677483181E-2</v>
      </c>
      <c r="H51" s="79">
        <f t="shared" si="36"/>
        <v>0.10483870967741936</v>
      </c>
      <c r="I51" s="79">
        <f t="shared" ref="I51" si="37">(I50-H50)/H50</f>
        <v>5.9526805940095642E-2</v>
      </c>
      <c r="J51" s="79">
        <f t="shared" ref="J51" si="38">(J50-I50)/I50</f>
        <v>9.2726768816565705E-2</v>
      </c>
      <c r="K51" s="79">
        <f t="shared" ref="K51" si="39">(K50-J50)/J50</f>
        <v>6.8408275662161677E-2</v>
      </c>
      <c r="L51" s="79">
        <f t="shared" ref="L51" si="40">(L50-K50)/K50</f>
        <v>5.3515108352833449E-2</v>
      </c>
      <c r="M51" s="79">
        <f t="shared" ref="M51" si="41">(M50-L50)/L50</f>
        <v>5.1150812811846129E-2</v>
      </c>
      <c r="N51" s="155"/>
      <c r="O51" s="77"/>
      <c r="P51" s="110"/>
      <c r="R51" s="131"/>
      <c r="S51" s="132"/>
    </row>
    <row r="52" spans="1:19" ht="15.75" customHeight="1" x14ac:dyDescent="0.25">
      <c r="A52" s="228" t="s">
        <v>82</v>
      </c>
      <c r="B52" s="82" t="s">
        <v>84</v>
      </c>
      <c r="C52" s="201">
        <v>2924</v>
      </c>
      <c r="D52" s="201">
        <v>3137</v>
      </c>
      <c r="E52" s="201">
        <v>3298</v>
      </c>
      <c r="F52" s="201">
        <v>3431</v>
      </c>
      <c r="G52" s="201">
        <v>3547</v>
      </c>
      <c r="H52" s="201">
        <v>3697</v>
      </c>
      <c r="I52" s="201">
        <v>3814</v>
      </c>
      <c r="J52" s="201">
        <v>3935</v>
      </c>
      <c r="K52" s="201">
        <v>4061</v>
      </c>
      <c r="L52" s="201">
        <v>4206</v>
      </c>
      <c r="M52" s="201">
        <v>4333</v>
      </c>
      <c r="N52" s="201"/>
      <c r="O52" s="108"/>
      <c r="P52" s="202">
        <f>N52</f>
        <v>0</v>
      </c>
      <c r="R52" s="131">
        <v>3500</v>
      </c>
      <c r="S52" s="132">
        <f>P52/R52</f>
        <v>0</v>
      </c>
    </row>
    <row r="53" spans="1:19" ht="15.75" customHeight="1" thickBot="1" x14ac:dyDescent="0.3">
      <c r="A53" s="229"/>
      <c r="B53" s="88" t="s">
        <v>17</v>
      </c>
      <c r="C53" s="156"/>
      <c r="D53" s="179">
        <f>(D52-C52)/C52</f>
        <v>7.2845417236662102E-2</v>
      </c>
      <c r="E53" s="179">
        <f t="shared" ref="E53:H53" si="42">(E52-D52)/D52</f>
        <v>5.1322919987248965E-2</v>
      </c>
      <c r="F53" s="179">
        <f t="shared" si="42"/>
        <v>4.0327471194663435E-2</v>
      </c>
      <c r="G53" s="179">
        <f t="shared" si="42"/>
        <v>3.3809385018944912E-2</v>
      </c>
      <c r="H53" s="179">
        <f t="shared" si="42"/>
        <v>4.2289258528333803E-2</v>
      </c>
      <c r="I53" s="179">
        <f t="shared" ref="I53" si="43">(I52-H52)/H52</f>
        <v>3.1647281579659181E-2</v>
      </c>
      <c r="J53" s="179">
        <f t="shared" ref="J53" si="44">(J52-I52)/I52</f>
        <v>3.1725222863135817E-2</v>
      </c>
      <c r="K53" s="179">
        <f t="shared" ref="K53" si="45">(K52-J52)/J52</f>
        <v>3.2020330368487927E-2</v>
      </c>
      <c r="L53" s="179">
        <f t="shared" ref="L53" si="46">(L52-K52)/K52</f>
        <v>3.5705491258310761E-2</v>
      </c>
      <c r="M53" s="179">
        <f t="shared" ref="M53" si="47">(M52-L52)/L52</f>
        <v>3.0194959581550166E-2</v>
      </c>
      <c r="N53" s="156"/>
      <c r="O53" s="89"/>
      <c r="P53" s="111"/>
      <c r="R53" s="203"/>
      <c r="S53" s="204"/>
    </row>
    <row r="57" spans="1:19" x14ac:dyDescent="0.25">
      <c r="I57" s="221"/>
    </row>
    <row r="58" spans="1:19" x14ac:dyDescent="0.25">
      <c r="I58" s="221"/>
    </row>
    <row r="59" spans="1:19" x14ac:dyDescent="0.25">
      <c r="I59" s="221"/>
    </row>
    <row r="60" spans="1:19" x14ac:dyDescent="0.25">
      <c r="I60" s="221"/>
    </row>
  </sheetData>
  <mergeCells count="20">
    <mergeCell ref="A46:A47"/>
    <mergeCell ref="A48:A49"/>
    <mergeCell ref="A50:A51"/>
    <mergeCell ref="A52:A53"/>
    <mergeCell ref="A32:A33"/>
    <mergeCell ref="A34:A35"/>
    <mergeCell ref="A36:A37"/>
    <mergeCell ref="A38:A39"/>
    <mergeCell ref="A40:A41"/>
    <mergeCell ref="A30:A31"/>
    <mergeCell ref="A4:A6"/>
    <mergeCell ref="A7:A9"/>
    <mergeCell ref="A10:A12"/>
    <mergeCell ref="A13:A15"/>
    <mergeCell ref="A16:A18"/>
    <mergeCell ref="A20:A21"/>
    <mergeCell ref="A22:A23"/>
    <mergeCell ref="A24:A25"/>
    <mergeCell ref="A26:A27"/>
    <mergeCell ref="A28:A29"/>
  </mergeCells>
  <pageMargins left="0.25" right="0.25" top="0.75" bottom="0.75" header="0.3" footer="0.3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32" sqref="J32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zoomScale="85" zoomScaleNormal="85" workbookViewId="0">
      <selection activeCell="O13" sqref="O13"/>
    </sheetView>
  </sheetViews>
  <sheetFormatPr baseColWidth="10" defaultColWidth="11.42578125" defaultRowHeight="15" x14ac:dyDescent="0.25"/>
  <cols>
    <col min="1" max="1" width="12.42578125" customWidth="1"/>
    <col min="2" max="13" width="13.28515625" customWidth="1"/>
  </cols>
  <sheetData>
    <row r="1" spans="1:18" x14ac:dyDescent="0.25">
      <c r="A1" s="1"/>
      <c r="B1" s="67" t="s">
        <v>0</v>
      </c>
      <c r="C1" s="67" t="s">
        <v>1</v>
      </c>
      <c r="D1" s="67" t="s">
        <v>2</v>
      </c>
      <c r="E1" s="67" t="s">
        <v>3</v>
      </c>
      <c r="F1" s="67" t="s">
        <v>4</v>
      </c>
      <c r="G1" s="67" t="s">
        <v>5</v>
      </c>
      <c r="H1" s="67" t="s">
        <v>6</v>
      </c>
      <c r="I1" s="67" t="s">
        <v>7</v>
      </c>
      <c r="J1" s="67" t="s">
        <v>8</v>
      </c>
      <c r="K1" s="67" t="s">
        <v>9</v>
      </c>
      <c r="L1" s="67" t="s">
        <v>10</v>
      </c>
      <c r="M1" s="67" t="s">
        <v>11</v>
      </c>
      <c r="O1" s="67" t="s">
        <v>53</v>
      </c>
      <c r="P1" s="49" t="s">
        <v>52</v>
      </c>
    </row>
    <row r="2" spans="1:18" x14ac:dyDescent="0.25">
      <c r="A2" s="6" t="s">
        <v>35</v>
      </c>
      <c r="B2" s="2">
        <v>41934</v>
      </c>
      <c r="C2" s="2">
        <v>42047</v>
      </c>
      <c r="D2" s="2">
        <v>42453</v>
      </c>
      <c r="E2" s="2">
        <v>42749</v>
      </c>
      <c r="F2" s="2">
        <v>43138</v>
      </c>
      <c r="G2" s="2">
        <v>38971</v>
      </c>
      <c r="H2" s="2">
        <v>44007</v>
      </c>
      <c r="I2" s="2">
        <v>44199</v>
      </c>
      <c r="J2" s="215">
        <v>44663</v>
      </c>
      <c r="K2" s="2">
        <v>45094</v>
      </c>
      <c r="L2" s="2">
        <v>45501</v>
      </c>
      <c r="M2" s="2">
        <v>45804</v>
      </c>
      <c r="O2">
        <v>44000</v>
      </c>
      <c r="P2" s="205">
        <f>L2/O2</f>
        <v>1.0341136363636363</v>
      </c>
    </row>
    <row r="3" spans="1:18" x14ac:dyDescent="0.25">
      <c r="A3" s="6" t="s">
        <v>36</v>
      </c>
      <c r="B3" s="68">
        <f>B4/B2</f>
        <v>0.15984642533505031</v>
      </c>
      <c r="C3" s="68">
        <f t="shared" ref="C3:M3" si="0">C4/C2</f>
        <v>0.12588294051894308</v>
      </c>
      <c r="D3" s="68">
        <f t="shared" si="0"/>
        <v>0.15205050290909947</v>
      </c>
      <c r="E3" s="68">
        <f t="shared" si="0"/>
        <v>0.16281082598423355</v>
      </c>
      <c r="F3" s="68">
        <f t="shared" si="0"/>
        <v>0.12005656265937224</v>
      </c>
      <c r="G3" s="68">
        <f t="shared" si="0"/>
        <v>0.14667316722691232</v>
      </c>
      <c r="H3" s="68">
        <f t="shared" si="0"/>
        <v>0.14686299906833003</v>
      </c>
      <c r="I3" s="68">
        <f t="shared" si="0"/>
        <v>0.12043258897260119</v>
      </c>
      <c r="J3" s="68">
        <f t="shared" si="0"/>
        <v>0.12730895819806104</v>
      </c>
      <c r="K3" s="68">
        <f t="shared" si="0"/>
        <v>0.14057302523617332</v>
      </c>
      <c r="L3" s="68">
        <f t="shared" si="0"/>
        <v>0.1323926946660513</v>
      </c>
      <c r="M3" s="68">
        <f t="shared" si="0"/>
        <v>9.8855995109597417E-2</v>
      </c>
      <c r="N3" s="211">
        <f>AVERAGE(B3:G3)</f>
        <v>0.14455340410560183</v>
      </c>
    </row>
    <row r="4" spans="1:18" x14ac:dyDescent="0.25">
      <c r="A4" s="6" t="s">
        <v>37</v>
      </c>
      <c r="B4" s="2">
        <v>6703</v>
      </c>
      <c r="C4" s="2">
        <v>5293</v>
      </c>
      <c r="D4" s="2">
        <v>6455</v>
      </c>
      <c r="E4" s="2">
        <v>6960</v>
      </c>
      <c r="F4" s="2">
        <v>5179</v>
      </c>
      <c r="G4" s="2">
        <v>5716</v>
      </c>
      <c r="H4" s="2">
        <v>6463</v>
      </c>
      <c r="I4" s="2">
        <v>5323</v>
      </c>
      <c r="J4" s="2">
        <v>5686</v>
      </c>
      <c r="K4" s="2">
        <v>6339</v>
      </c>
      <c r="L4" s="2">
        <v>6024</v>
      </c>
      <c r="M4" s="2">
        <v>4528</v>
      </c>
    </row>
    <row r="5" spans="1:18" ht="15.75" customHeight="1" x14ac:dyDescent="0.25">
      <c r="A5" s="6" t="s">
        <v>38</v>
      </c>
      <c r="B5" s="2">
        <v>1751</v>
      </c>
      <c r="C5" s="2">
        <v>1882</v>
      </c>
      <c r="D5" s="2">
        <v>1534</v>
      </c>
      <c r="E5" s="2">
        <v>1330</v>
      </c>
      <c r="F5" s="2">
        <v>1983</v>
      </c>
      <c r="G5" s="2">
        <v>1061</v>
      </c>
      <c r="H5" s="2">
        <v>1804</v>
      </c>
      <c r="I5" s="2">
        <v>1252</v>
      </c>
      <c r="J5" s="2">
        <v>1426</v>
      </c>
      <c r="K5" s="2">
        <v>1779</v>
      </c>
      <c r="L5" s="2">
        <v>1446</v>
      </c>
      <c r="M5" s="2">
        <v>1208</v>
      </c>
    </row>
    <row r="6" spans="1:18" x14ac:dyDescent="0.25">
      <c r="A6" s="6" t="s">
        <v>39</v>
      </c>
      <c r="B6" s="3">
        <f>B5/B4</f>
        <v>0.26122631657466805</v>
      </c>
      <c r="C6" s="3">
        <f t="shared" ref="C6:K6" si="1">C5/C4</f>
        <v>0.35556395238994898</v>
      </c>
      <c r="D6" s="3">
        <f t="shared" si="1"/>
        <v>0.23764523625096823</v>
      </c>
      <c r="E6" s="3">
        <f t="shared" si="1"/>
        <v>0.19109195402298851</v>
      </c>
      <c r="F6" s="3">
        <f t="shared" si="1"/>
        <v>0.38289245027997681</v>
      </c>
      <c r="G6" s="3">
        <f t="shared" si="1"/>
        <v>0.18561931420573827</v>
      </c>
      <c r="H6" s="3">
        <f t="shared" si="1"/>
        <v>0.2791273402444685</v>
      </c>
      <c r="I6" s="3">
        <f t="shared" si="1"/>
        <v>0.23520571106518881</v>
      </c>
      <c r="J6" s="3">
        <f t="shared" si="1"/>
        <v>0.25079141751670769</v>
      </c>
      <c r="K6" s="3">
        <f t="shared" si="1"/>
        <v>0.2806436346426881</v>
      </c>
      <c r="L6" s="3">
        <f>L5/L4</f>
        <v>0.24003984063745021</v>
      </c>
      <c r="M6" s="3">
        <f>M5/M4</f>
        <v>0.2667844522968198</v>
      </c>
      <c r="O6" s="210"/>
    </row>
    <row r="7" spans="1:18" x14ac:dyDescent="0.25">
      <c r="A7" s="6" t="s">
        <v>40</v>
      </c>
      <c r="B7" s="4">
        <v>1</v>
      </c>
      <c r="C7" s="4">
        <v>1</v>
      </c>
      <c r="D7" s="2">
        <v>1</v>
      </c>
      <c r="E7" s="4">
        <v>3</v>
      </c>
      <c r="F7" s="208">
        <v>3</v>
      </c>
      <c r="G7" s="2">
        <v>1</v>
      </c>
      <c r="H7" s="2">
        <v>1</v>
      </c>
      <c r="I7" s="2">
        <v>1</v>
      </c>
      <c r="J7" s="2">
        <v>5</v>
      </c>
      <c r="K7" s="69">
        <v>2</v>
      </c>
      <c r="L7" s="69">
        <v>2</v>
      </c>
      <c r="M7" s="69">
        <v>1</v>
      </c>
    </row>
    <row r="8" spans="1:18" x14ac:dyDescent="0.25">
      <c r="A8" s="6" t="s">
        <v>41</v>
      </c>
      <c r="B8" s="2">
        <v>1</v>
      </c>
      <c r="C8" s="4">
        <v>0</v>
      </c>
      <c r="D8" s="2">
        <v>0</v>
      </c>
      <c r="E8" s="2">
        <v>0</v>
      </c>
      <c r="F8" s="209">
        <v>7</v>
      </c>
      <c r="G8" s="2">
        <v>0</v>
      </c>
      <c r="H8" s="2">
        <v>1</v>
      </c>
      <c r="I8" s="2">
        <v>1</v>
      </c>
      <c r="J8" s="2">
        <v>7</v>
      </c>
      <c r="K8" s="2">
        <v>0</v>
      </c>
      <c r="L8" s="2">
        <v>0</v>
      </c>
      <c r="M8" s="2">
        <v>4</v>
      </c>
    </row>
    <row r="9" spans="1:18" x14ac:dyDescent="0.25">
      <c r="A9" s="6" t="s">
        <v>42</v>
      </c>
      <c r="B9" s="2">
        <v>9</v>
      </c>
      <c r="C9" s="4">
        <v>1</v>
      </c>
      <c r="D9" s="2">
        <v>2</v>
      </c>
      <c r="E9" s="2">
        <v>0</v>
      </c>
      <c r="F9" s="209">
        <v>2</v>
      </c>
      <c r="G9" s="2">
        <v>1</v>
      </c>
      <c r="H9" s="2">
        <v>1</v>
      </c>
      <c r="I9" s="2">
        <v>1</v>
      </c>
      <c r="J9" s="2">
        <v>2</v>
      </c>
      <c r="K9" s="2">
        <v>2</v>
      </c>
      <c r="L9" s="2">
        <v>1</v>
      </c>
      <c r="M9" s="2">
        <v>3</v>
      </c>
    </row>
    <row r="10" spans="1:18" x14ac:dyDescent="0.25">
      <c r="A10" s="6" t="s">
        <v>50</v>
      </c>
      <c r="B10" s="2">
        <v>51</v>
      </c>
      <c r="C10" s="2">
        <v>25</v>
      </c>
      <c r="D10" s="2">
        <v>50</v>
      </c>
      <c r="E10" s="2">
        <v>40</v>
      </c>
      <c r="F10" s="2">
        <v>35</v>
      </c>
      <c r="G10" s="2">
        <v>39</v>
      </c>
      <c r="H10" s="2">
        <v>50</v>
      </c>
      <c r="I10" s="2">
        <v>48</v>
      </c>
      <c r="J10" s="2">
        <v>43</v>
      </c>
      <c r="K10" s="2">
        <v>57</v>
      </c>
      <c r="L10" s="2">
        <v>50</v>
      </c>
      <c r="M10" s="2">
        <v>29</v>
      </c>
    </row>
    <row r="15" spans="1:18" x14ac:dyDescent="0.25">
      <c r="A15" s="233" t="s">
        <v>60</v>
      </c>
      <c r="B15" s="233"/>
      <c r="C15" s="233"/>
      <c r="D15" s="233"/>
      <c r="E15" s="233"/>
      <c r="F15" s="233"/>
      <c r="G15" s="233"/>
      <c r="H15" s="233"/>
      <c r="I15" s="233"/>
      <c r="K15" s="233" t="s">
        <v>60</v>
      </c>
      <c r="L15" s="233"/>
      <c r="M15" s="233"/>
      <c r="N15" s="233"/>
      <c r="O15" s="233"/>
      <c r="P15" s="233"/>
      <c r="Q15" s="233"/>
      <c r="R15" s="233"/>
    </row>
    <row r="16" spans="1:18" ht="30" x14ac:dyDescent="0.25">
      <c r="A16" t="s">
        <v>61</v>
      </c>
      <c r="B16" t="s">
        <v>35</v>
      </c>
      <c r="C16" t="s">
        <v>37</v>
      </c>
      <c r="D16" t="s">
        <v>36</v>
      </c>
      <c r="E16" t="s">
        <v>62</v>
      </c>
      <c r="F16" t="s">
        <v>63</v>
      </c>
      <c r="G16" s="170" t="s">
        <v>65</v>
      </c>
      <c r="H16" t="s">
        <v>64</v>
      </c>
      <c r="I16" t="s">
        <v>50</v>
      </c>
      <c r="K16" t="s">
        <v>61</v>
      </c>
      <c r="L16" t="s">
        <v>35</v>
      </c>
      <c r="M16" t="s">
        <v>37</v>
      </c>
      <c r="N16" t="s">
        <v>36</v>
      </c>
      <c r="O16" t="s">
        <v>62</v>
      </c>
      <c r="P16" t="s">
        <v>63</v>
      </c>
      <c r="Q16" t="s">
        <v>67</v>
      </c>
      <c r="R16" t="s">
        <v>64</v>
      </c>
    </row>
    <row r="17" spans="1:18" x14ac:dyDescent="0.25">
      <c r="A17" s="166">
        <v>42370</v>
      </c>
      <c r="B17" s="232" t="s">
        <v>66</v>
      </c>
      <c r="C17" s="232"/>
      <c r="D17" s="232"/>
      <c r="E17" s="232"/>
      <c r="F17" s="232"/>
      <c r="G17" s="232"/>
      <c r="H17" s="232"/>
      <c r="I17" s="232"/>
      <c r="K17" s="166">
        <v>42370</v>
      </c>
      <c r="L17" t="e">
        <f>#REF!</f>
        <v>#REF!</v>
      </c>
      <c r="M17">
        <v>12251</v>
      </c>
      <c r="N17" s="167" t="e">
        <f>M17/L17</f>
        <v>#REF!</v>
      </c>
      <c r="O17" s="172">
        <f>14313-M17</f>
        <v>2062</v>
      </c>
      <c r="P17" s="168">
        <v>27</v>
      </c>
      <c r="Q17" s="168">
        <v>1</v>
      </c>
      <c r="R17" s="168">
        <v>1</v>
      </c>
    </row>
    <row r="18" spans="1:18" x14ac:dyDescent="0.25">
      <c r="A18" s="166">
        <v>42401</v>
      </c>
      <c r="B18" s="232"/>
      <c r="C18" s="232"/>
      <c r="D18" s="232"/>
      <c r="E18" s="232"/>
      <c r="F18" s="232"/>
      <c r="G18" s="232"/>
      <c r="H18" s="232"/>
      <c r="I18" s="232"/>
      <c r="K18" s="166">
        <v>42401</v>
      </c>
      <c r="L18">
        <f t="shared" ref="L18:L28" si="2">Q1</f>
        <v>0</v>
      </c>
      <c r="M18" s="168">
        <v>14473</v>
      </c>
      <c r="N18" s="167" t="e">
        <f t="shared" ref="N18:N28" si="3">M18/L18</f>
        <v>#DIV/0!</v>
      </c>
      <c r="O18" s="173">
        <v>17202</v>
      </c>
      <c r="P18" s="174">
        <v>28</v>
      </c>
      <c r="Q18" s="168">
        <v>3</v>
      </c>
      <c r="R18" s="168">
        <v>1</v>
      </c>
    </row>
    <row r="19" spans="1:18" x14ac:dyDescent="0.25">
      <c r="A19" s="166">
        <v>42430</v>
      </c>
      <c r="B19" s="232"/>
      <c r="C19" s="232"/>
      <c r="D19" s="232"/>
      <c r="E19" s="232"/>
      <c r="F19" s="232"/>
      <c r="G19" s="232"/>
      <c r="H19" s="232"/>
      <c r="I19" s="232"/>
      <c r="K19" s="166">
        <v>42430</v>
      </c>
      <c r="L19">
        <f t="shared" si="2"/>
        <v>0</v>
      </c>
      <c r="M19" s="168">
        <v>12092</v>
      </c>
      <c r="N19" s="167" t="e">
        <f t="shared" si="3"/>
        <v>#DIV/0!</v>
      </c>
      <c r="O19" s="173">
        <f>13889-M19</f>
        <v>1797</v>
      </c>
      <c r="P19" s="174">
        <v>6</v>
      </c>
      <c r="Q19" s="168">
        <v>0</v>
      </c>
      <c r="R19" s="168">
        <v>4</v>
      </c>
    </row>
    <row r="20" spans="1:18" x14ac:dyDescent="0.25">
      <c r="A20" s="166">
        <v>42461</v>
      </c>
      <c r="B20" s="232"/>
      <c r="C20" s="232"/>
      <c r="D20" s="232"/>
      <c r="E20" s="232"/>
      <c r="F20" s="232"/>
      <c r="G20" s="232"/>
      <c r="H20" s="232"/>
      <c r="I20" s="232"/>
      <c r="K20" s="166">
        <v>42461</v>
      </c>
      <c r="L20">
        <f t="shared" si="2"/>
        <v>0</v>
      </c>
      <c r="M20" s="168">
        <v>13297</v>
      </c>
      <c r="N20" s="175" t="e">
        <f t="shared" si="3"/>
        <v>#DIV/0!</v>
      </c>
      <c r="O20" s="173">
        <f>14866-M20</f>
        <v>1569</v>
      </c>
      <c r="P20" s="174">
        <v>0</v>
      </c>
      <c r="Q20" s="168">
        <v>0</v>
      </c>
      <c r="R20" s="168">
        <v>0</v>
      </c>
    </row>
    <row r="21" spans="1:18" x14ac:dyDescent="0.25">
      <c r="A21" s="166">
        <v>42491</v>
      </c>
      <c r="B21" s="232"/>
      <c r="C21" s="232"/>
      <c r="D21" s="232"/>
      <c r="E21" s="232"/>
      <c r="F21" s="232"/>
      <c r="G21" s="232"/>
      <c r="H21" s="232"/>
      <c r="I21" s="232"/>
      <c r="K21" s="166">
        <v>42491</v>
      </c>
      <c r="L21">
        <f>Q4</f>
        <v>0</v>
      </c>
      <c r="M21" s="168" t="s">
        <v>68</v>
      </c>
      <c r="N21" s="175" t="e">
        <f t="shared" si="3"/>
        <v>#VALUE!</v>
      </c>
      <c r="O21" s="173">
        <v>1756</v>
      </c>
      <c r="P21" s="174">
        <v>2</v>
      </c>
      <c r="Q21" s="168">
        <v>3</v>
      </c>
      <c r="R21" s="168">
        <v>0</v>
      </c>
    </row>
    <row r="22" spans="1:18" x14ac:dyDescent="0.25">
      <c r="A22" s="166">
        <v>42522</v>
      </c>
      <c r="B22" s="232"/>
      <c r="C22" s="232"/>
      <c r="D22" s="232"/>
      <c r="E22" s="232"/>
      <c r="F22" s="232"/>
      <c r="G22" s="232"/>
      <c r="H22" s="232"/>
      <c r="I22" s="232"/>
      <c r="K22" s="166">
        <v>42522</v>
      </c>
      <c r="L22">
        <f t="shared" si="2"/>
        <v>0</v>
      </c>
      <c r="M22" s="168">
        <f>454+10833</f>
        <v>11287</v>
      </c>
      <c r="N22" s="167" t="e">
        <f t="shared" si="3"/>
        <v>#DIV/0!</v>
      </c>
      <c r="O22" s="173">
        <f>12892-M22</f>
        <v>1605</v>
      </c>
      <c r="P22" s="174">
        <v>2</v>
      </c>
      <c r="Q22" s="168">
        <v>2</v>
      </c>
      <c r="R22" s="168">
        <v>11</v>
      </c>
    </row>
    <row r="23" spans="1:18" x14ac:dyDescent="0.25">
      <c r="A23" s="166">
        <v>42552</v>
      </c>
      <c r="B23" s="232"/>
      <c r="C23" s="232"/>
      <c r="D23" s="232"/>
      <c r="E23" s="232"/>
      <c r="F23" s="232"/>
      <c r="G23" s="232"/>
      <c r="H23" s="232"/>
      <c r="I23" s="232"/>
      <c r="K23" s="166">
        <v>42552</v>
      </c>
      <c r="L23">
        <f t="shared" si="2"/>
        <v>0</v>
      </c>
      <c r="M23" s="168" t="s">
        <v>68</v>
      </c>
      <c r="N23" s="167" t="e">
        <f t="shared" si="3"/>
        <v>#VALUE!</v>
      </c>
      <c r="O23">
        <v>2035</v>
      </c>
      <c r="P23" s="169">
        <v>2</v>
      </c>
      <c r="Q23" s="168">
        <v>2</v>
      </c>
      <c r="R23" s="168">
        <v>0</v>
      </c>
    </row>
    <row r="24" spans="1:18" x14ac:dyDescent="0.25">
      <c r="A24" s="166">
        <v>42583</v>
      </c>
      <c r="B24" s="232"/>
      <c r="C24" s="232"/>
      <c r="D24" s="232"/>
      <c r="E24" s="232"/>
      <c r="F24" s="232"/>
      <c r="G24" s="232"/>
      <c r="H24" s="232"/>
      <c r="I24" s="232"/>
      <c r="K24" s="166">
        <v>42583</v>
      </c>
      <c r="L24">
        <f t="shared" si="2"/>
        <v>0</v>
      </c>
      <c r="M24" s="168">
        <f>8752+138</f>
        <v>8890</v>
      </c>
      <c r="N24" s="167" t="e">
        <f t="shared" si="3"/>
        <v>#DIV/0!</v>
      </c>
      <c r="O24" s="176"/>
      <c r="P24" s="169"/>
      <c r="Q24" s="168"/>
      <c r="R24" s="168"/>
    </row>
    <row r="25" spans="1:18" x14ac:dyDescent="0.25">
      <c r="A25" s="166">
        <v>42614</v>
      </c>
      <c r="B25">
        <v>41961</v>
      </c>
      <c r="C25" s="168">
        <v>4640</v>
      </c>
      <c r="D25" s="167">
        <f t="shared" ref="D25:D28" si="4">C25/B25</f>
        <v>0.1105788708562713</v>
      </c>
      <c r="E25" s="171">
        <v>1793</v>
      </c>
      <c r="F25" s="169">
        <v>1</v>
      </c>
      <c r="G25" s="168">
        <v>13</v>
      </c>
      <c r="H25" s="168">
        <v>1</v>
      </c>
      <c r="I25">
        <v>42</v>
      </c>
      <c r="J25">
        <v>38.64</v>
      </c>
      <c r="K25" s="166">
        <v>42614</v>
      </c>
      <c r="L25">
        <f t="shared" si="2"/>
        <v>0</v>
      </c>
      <c r="M25" s="168"/>
      <c r="N25" s="167" t="e">
        <f t="shared" si="3"/>
        <v>#DIV/0!</v>
      </c>
      <c r="O25" s="176"/>
      <c r="P25" s="169"/>
      <c r="Q25" s="168"/>
      <c r="R25" s="168"/>
    </row>
    <row r="26" spans="1:18" x14ac:dyDescent="0.25">
      <c r="A26" s="166">
        <v>42644</v>
      </c>
      <c r="B26">
        <v>41399</v>
      </c>
      <c r="C26" s="168">
        <v>6861</v>
      </c>
      <c r="D26" s="167">
        <f t="shared" si="4"/>
        <v>0.16572864078842484</v>
      </c>
      <c r="E26" s="171">
        <v>2693</v>
      </c>
      <c r="F26" s="169">
        <v>3</v>
      </c>
      <c r="G26" s="168">
        <v>3</v>
      </c>
      <c r="H26" s="168">
        <v>0</v>
      </c>
      <c r="I26">
        <v>53</v>
      </c>
      <c r="J26">
        <v>39.25</v>
      </c>
      <c r="K26" s="166">
        <v>42644</v>
      </c>
      <c r="L26">
        <f t="shared" si="2"/>
        <v>0</v>
      </c>
      <c r="M26" s="168"/>
      <c r="N26" s="167" t="e">
        <f t="shared" si="3"/>
        <v>#DIV/0!</v>
      </c>
      <c r="O26" s="176"/>
      <c r="P26" s="169"/>
      <c r="Q26" s="168"/>
      <c r="R26" s="168"/>
    </row>
    <row r="27" spans="1:18" x14ac:dyDescent="0.25">
      <c r="A27" s="166">
        <v>42675</v>
      </c>
      <c r="B27">
        <v>41480</v>
      </c>
      <c r="C27" s="168">
        <v>6789</v>
      </c>
      <c r="D27" s="167">
        <f t="shared" si="4"/>
        <v>0.1636692381870781</v>
      </c>
      <c r="E27" s="171">
        <v>1213</v>
      </c>
      <c r="F27" s="169">
        <v>1</v>
      </c>
      <c r="G27" s="168">
        <v>3</v>
      </c>
      <c r="H27" s="168">
        <v>0</v>
      </c>
      <c r="I27">
        <v>44</v>
      </c>
      <c r="J27">
        <v>17.86</v>
      </c>
      <c r="K27" s="166">
        <v>42675</v>
      </c>
      <c r="L27">
        <f t="shared" si="2"/>
        <v>0</v>
      </c>
      <c r="M27" s="168"/>
      <c r="N27" s="167" t="e">
        <f t="shared" si="3"/>
        <v>#DIV/0!</v>
      </c>
      <c r="O27" s="176"/>
      <c r="P27" s="169"/>
      <c r="Q27" s="168"/>
      <c r="R27" s="168"/>
    </row>
    <row r="28" spans="1:18" x14ac:dyDescent="0.25">
      <c r="A28" s="166">
        <v>42705</v>
      </c>
      <c r="B28">
        <v>41685</v>
      </c>
      <c r="C28" s="168">
        <v>6509</v>
      </c>
      <c r="D28" s="167">
        <f t="shared" si="4"/>
        <v>0.15614729519011636</v>
      </c>
      <c r="E28" s="168">
        <v>1699</v>
      </c>
      <c r="F28" s="169">
        <v>3</v>
      </c>
      <c r="G28" s="168">
        <v>1</v>
      </c>
      <c r="H28" s="168">
        <v>0</v>
      </c>
      <c r="I28">
        <v>55</v>
      </c>
      <c r="J28" s="168">
        <v>26.1</v>
      </c>
      <c r="K28" s="166">
        <v>42705</v>
      </c>
      <c r="L28">
        <f t="shared" si="2"/>
        <v>0</v>
      </c>
      <c r="M28" s="168"/>
      <c r="N28" s="167" t="e">
        <f t="shared" si="3"/>
        <v>#DIV/0!</v>
      </c>
      <c r="O28" s="176"/>
      <c r="P28" s="169"/>
      <c r="Q28" s="168"/>
      <c r="R28" s="168"/>
    </row>
    <row r="29" spans="1:18" x14ac:dyDescent="0.25">
      <c r="E29" s="168"/>
    </row>
    <row r="30" spans="1:18" x14ac:dyDescent="0.25">
      <c r="A30" t="s">
        <v>69</v>
      </c>
    </row>
    <row r="31" spans="1:18" x14ac:dyDescent="0.25">
      <c r="A31" t="s">
        <v>70</v>
      </c>
    </row>
  </sheetData>
  <mergeCells count="3">
    <mergeCell ref="B17:I24"/>
    <mergeCell ref="A15:I15"/>
    <mergeCell ref="K15:R1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M30"/>
  <sheetViews>
    <sheetView zoomScale="85" zoomScaleNormal="85" workbookViewId="0">
      <selection activeCell="I21" sqref="I21"/>
    </sheetView>
  </sheetViews>
  <sheetFormatPr baseColWidth="10" defaultColWidth="18.7109375" defaultRowHeight="15" x14ac:dyDescent="0.25"/>
  <sheetData>
    <row r="1" spans="1:13" s="71" customFormat="1" x14ac:dyDescent="0.25">
      <c r="A1" s="181"/>
      <c r="B1" s="180" t="s">
        <v>55</v>
      </c>
      <c r="C1" s="180" t="s">
        <v>54</v>
      </c>
      <c r="D1" s="180" t="s">
        <v>58</v>
      </c>
      <c r="E1" s="180" t="s">
        <v>71</v>
      </c>
      <c r="F1" s="180" t="s">
        <v>88</v>
      </c>
      <c r="G1" s="180" t="s">
        <v>89</v>
      </c>
      <c r="H1" s="180" t="s">
        <v>90</v>
      </c>
      <c r="I1" s="180" t="s">
        <v>91</v>
      </c>
      <c r="J1" s="180" t="s">
        <v>117</v>
      </c>
      <c r="K1" s="180" t="s">
        <v>118</v>
      </c>
      <c r="L1" s="180" t="s">
        <v>119</v>
      </c>
      <c r="M1" s="180" t="s">
        <v>120</v>
      </c>
    </row>
    <row r="2" spans="1:13" x14ac:dyDescent="0.25">
      <c r="A2" s="9" t="s">
        <v>43</v>
      </c>
      <c r="B2" s="11">
        <v>1090</v>
      </c>
      <c r="C2" s="7">
        <v>1111</v>
      </c>
      <c r="D2" s="7">
        <v>1136</v>
      </c>
      <c r="E2" s="7">
        <v>1162</v>
      </c>
      <c r="F2" s="7">
        <v>1191</v>
      </c>
      <c r="G2" s="7">
        <v>1220</v>
      </c>
      <c r="H2" s="7">
        <v>1258</v>
      </c>
      <c r="I2" s="7">
        <v>2270</v>
      </c>
      <c r="J2" s="7">
        <v>2298</v>
      </c>
      <c r="K2" s="7">
        <v>2331</v>
      </c>
      <c r="L2" s="7"/>
      <c r="M2" s="7"/>
    </row>
    <row r="3" spans="1:13" x14ac:dyDescent="0.25">
      <c r="A3" s="9" t="s">
        <v>44</v>
      </c>
      <c r="B3" s="70">
        <v>42741</v>
      </c>
      <c r="C3" s="70">
        <v>42773</v>
      </c>
      <c r="D3" s="70">
        <v>42801</v>
      </c>
      <c r="E3" s="70">
        <v>42829</v>
      </c>
      <c r="F3" s="70">
        <v>42857</v>
      </c>
      <c r="G3" s="70">
        <v>42895</v>
      </c>
      <c r="H3" s="70">
        <v>42929</v>
      </c>
      <c r="I3" s="70">
        <v>42948</v>
      </c>
      <c r="J3" s="70">
        <v>42983</v>
      </c>
      <c r="K3" s="70"/>
      <c r="L3" s="70"/>
      <c r="M3" s="70"/>
    </row>
    <row r="4" spans="1:13" x14ac:dyDescent="0.25">
      <c r="A4" s="9" t="s">
        <v>35</v>
      </c>
      <c r="B4" s="7">
        <v>665</v>
      </c>
      <c r="C4" s="11">
        <v>5482</v>
      </c>
      <c r="D4" s="11">
        <v>2459</v>
      </c>
      <c r="E4" s="11">
        <v>1478</v>
      </c>
      <c r="F4" s="11">
        <f>216+192</f>
        <v>408</v>
      </c>
      <c r="G4" s="11">
        <v>1109</v>
      </c>
      <c r="H4" s="11">
        <v>673</v>
      </c>
      <c r="I4" s="11">
        <v>512</v>
      </c>
      <c r="J4" s="11">
        <v>359</v>
      </c>
      <c r="K4" s="11"/>
      <c r="L4" s="11"/>
      <c r="M4" s="11"/>
    </row>
    <row r="5" spans="1:13" x14ac:dyDescent="0.25">
      <c r="A5" s="9" t="s">
        <v>36</v>
      </c>
      <c r="B5" s="177">
        <f>B6/B4</f>
        <v>0.39398496240601505</v>
      </c>
      <c r="C5" s="177">
        <f t="shared" ref="C5:E5" si="0">C6/C4</f>
        <v>0.19281284202845678</v>
      </c>
      <c r="D5" s="177">
        <f>D6/D4</f>
        <v>0.28100854005693371</v>
      </c>
      <c r="E5" s="177">
        <f t="shared" si="0"/>
        <v>0.27740189445196212</v>
      </c>
      <c r="F5" s="177">
        <v>0.30830000000000002</v>
      </c>
      <c r="G5" s="177">
        <v>0.26729999999999998</v>
      </c>
      <c r="H5" s="177">
        <v>0.27929999999999999</v>
      </c>
      <c r="I5" s="177">
        <v>0.43159999999999998</v>
      </c>
      <c r="J5" s="177">
        <v>0.24510000000000001</v>
      </c>
      <c r="K5" s="177"/>
      <c r="L5" s="177"/>
      <c r="M5" s="177"/>
    </row>
    <row r="6" spans="1:13" x14ac:dyDescent="0.25">
      <c r="A6" s="9" t="s">
        <v>37</v>
      </c>
      <c r="B6" s="7">
        <v>262</v>
      </c>
      <c r="C6" s="7">
        <v>1057</v>
      </c>
      <c r="D6" s="7">
        <v>691</v>
      </c>
      <c r="E6" s="7">
        <v>410</v>
      </c>
      <c r="F6" s="7">
        <v>127</v>
      </c>
      <c r="G6" s="7">
        <v>298</v>
      </c>
      <c r="H6" s="7">
        <v>188</v>
      </c>
      <c r="I6" s="7">
        <v>221</v>
      </c>
      <c r="J6" s="7">
        <v>90</v>
      </c>
      <c r="K6" s="7"/>
      <c r="L6" s="7"/>
      <c r="M6" s="7"/>
    </row>
    <row r="7" spans="1:13" x14ac:dyDescent="0.25">
      <c r="A7" s="9" t="s">
        <v>38</v>
      </c>
      <c r="B7" s="7">
        <v>54</v>
      </c>
      <c r="C7" s="7">
        <v>121</v>
      </c>
      <c r="D7" s="7">
        <v>183</v>
      </c>
      <c r="E7" s="7">
        <v>46</v>
      </c>
      <c r="F7" s="7">
        <v>39</v>
      </c>
      <c r="G7" s="7">
        <v>49</v>
      </c>
      <c r="H7" s="7">
        <v>26</v>
      </c>
      <c r="I7" s="7">
        <v>8</v>
      </c>
      <c r="J7" s="7">
        <v>26</v>
      </c>
      <c r="K7" s="7"/>
      <c r="L7" s="7"/>
      <c r="M7" s="7"/>
    </row>
    <row r="8" spans="1:13" x14ac:dyDescent="0.25">
      <c r="A8" s="9" t="s">
        <v>39</v>
      </c>
      <c r="B8" s="5">
        <f t="shared" ref="B8:E8" si="1">B7/B6</f>
        <v>0.20610687022900764</v>
      </c>
      <c r="C8" s="5">
        <f t="shared" si="1"/>
        <v>0.11447492904446546</v>
      </c>
      <c r="D8" s="5">
        <f t="shared" si="1"/>
        <v>0.26483357452966716</v>
      </c>
      <c r="E8" s="5">
        <f t="shared" si="1"/>
        <v>0.11219512195121951</v>
      </c>
      <c r="F8" s="5">
        <f>F7/F6</f>
        <v>0.30708661417322836</v>
      </c>
      <c r="G8" s="5">
        <f>G7/G6</f>
        <v>0.16442953020134229</v>
      </c>
      <c r="H8" s="5">
        <f>H7/H6</f>
        <v>0.13829787234042554</v>
      </c>
      <c r="I8" s="5">
        <f>I7/I6</f>
        <v>3.6199095022624438E-2</v>
      </c>
      <c r="J8" s="5">
        <f>J7/J6</f>
        <v>0.28888888888888886</v>
      </c>
      <c r="K8" s="5"/>
      <c r="L8" s="5"/>
      <c r="M8" s="5"/>
    </row>
    <row r="9" spans="1:13" x14ac:dyDescent="0.25">
      <c r="A9" s="10" t="s">
        <v>47</v>
      </c>
      <c r="B9" s="8">
        <v>1</v>
      </c>
      <c r="C9" s="8">
        <v>0</v>
      </c>
      <c r="D9" s="8">
        <v>2</v>
      </c>
      <c r="E9" s="8">
        <v>1</v>
      </c>
      <c r="F9" s="8">
        <v>3</v>
      </c>
      <c r="G9" s="8">
        <v>0</v>
      </c>
      <c r="H9" s="8">
        <v>0</v>
      </c>
      <c r="I9" s="8">
        <v>0</v>
      </c>
      <c r="J9" s="8">
        <v>0</v>
      </c>
      <c r="K9" s="8"/>
      <c r="L9" s="8"/>
      <c r="M9" s="8"/>
    </row>
    <row r="10" spans="1:13" x14ac:dyDescent="0.25">
      <c r="A10" s="10" t="s">
        <v>48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/>
      <c r="L10" s="8"/>
      <c r="M10" s="8"/>
    </row>
    <row r="11" spans="1:13" x14ac:dyDescent="0.25">
      <c r="A11" s="10" t="s">
        <v>41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/>
      <c r="L11" s="8"/>
      <c r="M11" s="8"/>
    </row>
    <row r="12" spans="1:13" x14ac:dyDescent="0.25">
      <c r="A12" s="10" t="s">
        <v>49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/>
      <c r="L12" s="8"/>
      <c r="M12" s="8"/>
    </row>
    <row r="14" spans="1:13" ht="38.25" x14ac:dyDescent="0.25">
      <c r="A14" s="234" t="s">
        <v>115</v>
      </c>
      <c r="B14" s="214" t="s">
        <v>92</v>
      </c>
      <c r="C14" s="214" t="s">
        <v>93</v>
      </c>
      <c r="D14" s="214" t="s">
        <v>94</v>
      </c>
      <c r="E14" s="214" t="s">
        <v>95</v>
      </c>
      <c r="F14" s="214" t="s">
        <v>96</v>
      </c>
      <c r="G14" s="214" t="s">
        <v>97</v>
      </c>
      <c r="H14" s="214" t="s">
        <v>98</v>
      </c>
      <c r="I14" s="214" t="s">
        <v>99</v>
      </c>
      <c r="J14" s="214" t="s">
        <v>121</v>
      </c>
      <c r="K14" s="214" t="s">
        <v>122</v>
      </c>
      <c r="L14" s="214"/>
      <c r="M14" s="214"/>
    </row>
    <row r="15" spans="1:13" ht="38.25" x14ac:dyDescent="0.25">
      <c r="A15" s="234"/>
      <c r="B15" s="214" t="s">
        <v>100</v>
      </c>
      <c r="C15" s="214" t="s">
        <v>101</v>
      </c>
      <c r="D15" s="214" t="s">
        <v>102</v>
      </c>
      <c r="E15" s="214" t="s">
        <v>103</v>
      </c>
      <c r="F15" s="214" t="s">
        <v>104</v>
      </c>
      <c r="G15" s="214" t="s">
        <v>104</v>
      </c>
      <c r="H15" s="214" t="s">
        <v>105</v>
      </c>
      <c r="I15" s="214" t="s">
        <v>106</v>
      </c>
      <c r="J15" s="214" t="s">
        <v>114</v>
      </c>
      <c r="K15" s="214" t="s">
        <v>121</v>
      </c>
      <c r="L15" s="214"/>
      <c r="M15" s="214"/>
    </row>
    <row r="16" spans="1:13" ht="38.25" x14ac:dyDescent="0.25">
      <c r="A16" s="234"/>
      <c r="B16" s="214" t="s">
        <v>107</v>
      </c>
      <c r="C16" s="214" t="s">
        <v>108</v>
      </c>
      <c r="D16" s="214" t="s">
        <v>109</v>
      </c>
      <c r="E16" s="214" t="s">
        <v>110</v>
      </c>
      <c r="F16" s="214" t="s">
        <v>111</v>
      </c>
      <c r="G16" s="214" t="s">
        <v>112</v>
      </c>
      <c r="H16" s="214" t="s">
        <v>113</v>
      </c>
      <c r="I16" s="214" t="s">
        <v>114</v>
      </c>
      <c r="J16" s="214" t="s">
        <v>111</v>
      </c>
      <c r="K16" s="214" t="s">
        <v>105</v>
      </c>
      <c r="L16" s="214"/>
      <c r="M16" s="214"/>
    </row>
    <row r="19" spans="1:11" ht="60" x14ac:dyDescent="0.25">
      <c r="A19" s="181"/>
      <c r="B19" s="180" t="s">
        <v>73</v>
      </c>
      <c r="C19" s="180" t="s">
        <v>56</v>
      </c>
      <c r="D19" s="180" t="s">
        <v>72</v>
      </c>
      <c r="E19" s="180" t="s">
        <v>127</v>
      </c>
      <c r="F19" s="180" t="s">
        <v>126</v>
      </c>
      <c r="G19" s="180" t="s">
        <v>124</v>
      </c>
      <c r="H19" s="180" t="s">
        <v>125</v>
      </c>
      <c r="I19" s="180" t="s">
        <v>123</v>
      </c>
    </row>
    <row r="20" spans="1:11" x14ac:dyDescent="0.25">
      <c r="A20" s="9" t="s">
        <v>43</v>
      </c>
      <c r="B20" s="7">
        <v>1095</v>
      </c>
      <c r="C20" s="7">
        <v>1117</v>
      </c>
      <c r="D20" s="7">
        <v>1168</v>
      </c>
      <c r="E20" s="7">
        <v>1134</v>
      </c>
      <c r="F20" s="7">
        <v>1193</v>
      </c>
      <c r="G20" s="7">
        <v>2306</v>
      </c>
      <c r="H20" s="7">
        <v>1195</v>
      </c>
      <c r="I20" s="7">
        <v>2319</v>
      </c>
      <c r="K20" s="216"/>
    </row>
    <row r="21" spans="1:11" x14ac:dyDescent="0.25">
      <c r="A21" s="9" t="s">
        <v>44</v>
      </c>
      <c r="B21" s="70">
        <v>42755</v>
      </c>
      <c r="C21" s="70">
        <v>42782</v>
      </c>
      <c r="D21" s="70">
        <v>42835</v>
      </c>
      <c r="E21" s="70">
        <v>42802</v>
      </c>
      <c r="F21" s="70">
        <v>42867</v>
      </c>
      <c r="G21" s="70">
        <v>42990</v>
      </c>
      <c r="H21" s="70">
        <v>42859</v>
      </c>
      <c r="I21" s="70"/>
      <c r="K21" s="216"/>
    </row>
    <row r="22" spans="1:11" x14ac:dyDescent="0.25">
      <c r="A22" s="9" t="s">
        <v>35</v>
      </c>
      <c r="B22" s="11">
        <v>7325</v>
      </c>
      <c r="C22" s="11">
        <v>8116</v>
      </c>
      <c r="D22" s="11">
        <v>1996</v>
      </c>
      <c r="E22" s="11">
        <v>719</v>
      </c>
      <c r="F22" s="11">
        <v>78</v>
      </c>
      <c r="G22" s="11">
        <v>5892</v>
      </c>
      <c r="H22" s="11">
        <v>511</v>
      </c>
      <c r="I22" s="11"/>
      <c r="K22" s="216"/>
    </row>
    <row r="23" spans="1:11" x14ac:dyDescent="0.25">
      <c r="A23" s="9" t="s">
        <v>36</v>
      </c>
      <c r="B23" s="177">
        <f t="shared" ref="B23" si="2">B24/B22</f>
        <v>0.19795221843003413</v>
      </c>
      <c r="C23" s="177">
        <f>C24/C22</f>
        <v>0.21057171020206999</v>
      </c>
      <c r="D23" s="177">
        <f t="shared" ref="D23" si="3">D24/D22</f>
        <v>0.17134268537074149</v>
      </c>
      <c r="E23" s="177">
        <v>0.25069999999999998</v>
      </c>
      <c r="F23" s="177">
        <v>0.22889999999999999</v>
      </c>
      <c r="G23" s="177">
        <v>0.25119999999999998</v>
      </c>
      <c r="H23" s="177">
        <v>0.22239999999999999</v>
      </c>
      <c r="I23" s="177"/>
      <c r="K23" s="216"/>
    </row>
    <row r="24" spans="1:11" x14ac:dyDescent="0.25">
      <c r="A24" s="9" t="s">
        <v>37</v>
      </c>
      <c r="B24" s="7">
        <v>1450</v>
      </c>
      <c r="C24" s="7">
        <v>1709</v>
      </c>
      <c r="D24" s="7">
        <v>342</v>
      </c>
      <c r="E24" s="7">
        <v>181</v>
      </c>
      <c r="F24" s="7">
        <v>19</v>
      </c>
      <c r="G24" s="7">
        <v>1481</v>
      </c>
      <c r="H24" s="7">
        <v>116</v>
      </c>
      <c r="I24" s="7"/>
      <c r="K24" s="216"/>
    </row>
    <row r="25" spans="1:11" x14ac:dyDescent="0.25">
      <c r="A25" s="9" t="s">
        <v>38</v>
      </c>
      <c r="B25" s="7">
        <f>3273-2973</f>
        <v>300</v>
      </c>
      <c r="C25" s="7">
        <v>213</v>
      </c>
      <c r="D25" s="7">
        <v>85</v>
      </c>
      <c r="E25" s="7">
        <v>14</v>
      </c>
      <c r="F25" s="7">
        <v>0</v>
      </c>
      <c r="G25" s="7">
        <v>41</v>
      </c>
      <c r="H25" s="7">
        <v>9</v>
      </c>
      <c r="I25" s="7"/>
      <c r="K25" s="216"/>
    </row>
    <row r="26" spans="1:11" x14ac:dyDescent="0.25">
      <c r="A26" s="9" t="s">
        <v>39</v>
      </c>
      <c r="B26" s="5">
        <f t="shared" ref="B26" si="4">B25/B24</f>
        <v>0.20689655172413793</v>
      </c>
      <c r="C26" s="5">
        <f>C25/C24</f>
        <v>0.12463428905792862</v>
      </c>
      <c r="D26" s="5">
        <f t="shared" ref="D26:H26" si="5">D25/D24</f>
        <v>0.24853801169590642</v>
      </c>
      <c r="E26" s="5">
        <f t="shared" si="5"/>
        <v>7.7348066298342538E-2</v>
      </c>
      <c r="F26" s="5">
        <f t="shared" si="5"/>
        <v>0</v>
      </c>
      <c r="G26" s="5">
        <f t="shared" si="5"/>
        <v>2.7683997299122215E-2</v>
      </c>
      <c r="H26" s="5">
        <f t="shared" si="5"/>
        <v>7.7586206896551727E-2</v>
      </c>
      <c r="I26" s="5"/>
      <c r="K26" s="216"/>
    </row>
    <row r="27" spans="1:11" x14ac:dyDescent="0.25">
      <c r="A27" s="10" t="s">
        <v>47</v>
      </c>
      <c r="B27" s="8">
        <v>0</v>
      </c>
      <c r="C27" s="8"/>
      <c r="D27" s="8"/>
      <c r="E27" s="8"/>
      <c r="F27" s="8"/>
      <c r="G27" s="8"/>
      <c r="H27" s="8"/>
      <c r="I27" s="8"/>
    </row>
    <row r="28" spans="1:11" x14ac:dyDescent="0.25">
      <c r="A28" s="10" t="s">
        <v>48</v>
      </c>
      <c r="B28" s="8">
        <v>0</v>
      </c>
      <c r="C28" s="8"/>
      <c r="D28" s="8"/>
      <c r="E28" s="8"/>
      <c r="F28" s="8"/>
      <c r="G28" s="8"/>
      <c r="H28" s="8"/>
      <c r="I28" s="8"/>
    </row>
    <row r="29" spans="1:11" x14ac:dyDescent="0.25">
      <c r="A29" s="10" t="s">
        <v>41</v>
      </c>
      <c r="B29" s="8">
        <v>1</v>
      </c>
      <c r="C29" s="8"/>
      <c r="D29" s="8"/>
      <c r="E29" s="8"/>
      <c r="F29" s="8"/>
      <c r="G29" s="8"/>
      <c r="H29" s="8"/>
      <c r="I29" s="8"/>
    </row>
    <row r="30" spans="1:11" x14ac:dyDescent="0.25">
      <c r="A30" s="10" t="s">
        <v>49</v>
      </c>
      <c r="B30" s="8">
        <v>0</v>
      </c>
      <c r="C30" s="8"/>
      <c r="D30" s="8"/>
      <c r="E30" s="8"/>
      <c r="F30" s="8"/>
      <c r="G30" s="8"/>
      <c r="H30" s="8"/>
      <c r="I30" s="8"/>
    </row>
  </sheetData>
  <mergeCells count="1">
    <mergeCell ref="A14:A16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66" r:id="rId3" name="Control 18">
          <controlPr defaultSize="0" r:id="rId4">
            <anchor moveWithCells="1">
              <from>
                <xdr:col>10</xdr:col>
                <xdr:colOff>457200</xdr:colOff>
                <xdr:row>25</xdr:row>
                <xdr:rowOff>114300</xdr:rowOff>
              </from>
              <to>
                <xdr:col>10</xdr:col>
                <xdr:colOff>676275</xdr:colOff>
                <xdr:row>26</xdr:row>
                <xdr:rowOff>152400</xdr:rowOff>
              </to>
            </anchor>
          </controlPr>
        </control>
      </mc:Choice>
      <mc:Fallback>
        <control shapeId="2066" r:id="rId3" name="Control 18"/>
      </mc:Fallback>
    </mc:AlternateContent>
    <mc:AlternateContent xmlns:mc="http://schemas.openxmlformats.org/markup-compatibility/2006">
      <mc:Choice Requires="x14">
        <control shapeId="2063" r:id="rId5" name="Control 15">
          <controlPr defaultSize="0" r:id="rId4">
            <anchor moveWithCells="1">
              <from>
                <xdr:col>10</xdr:col>
                <xdr:colOff>457200</xdr:colOff>
                <xdr:row>24</xdr:row>
                <xdr:rowOff>114300</xdr:rowOff>
              </from>
              <to>
                <xdr:col>10</xdr:col>
                <xdr:colOff>676275</xdr:colOff>
                <xdr:row>25</xdr:row>
                <xdr:rowOff>152400</xdr:rowOff>
              </to>
            </anchor>
          </controlPr>
        </control>
      </mc:Choice>
      <mc:Fallback>
        <control shapeId="2063" r:id="rId5" name="Control 15"/>
      </mc:Fallback>
    </mc:AlternateContent>
    <mc:AlternateContent xmlns:mc="http://schemas.openxmlformats.org/markup-compatibility/2006">
      <mc:Choice Requires="x14">
        <control shapeId="2060" r:id="rId6" name="Control 12">
          <controlPr defaultSize="0" r:id="rId7">
            <anchor moveWithCells="1">
              <from>
                <xdr:col>10</xdr:col>
                <xdr:colOff>457200</xdr:colOff>
                <xdr:row>23</xdr:row>
                <xdr:rowOff>114300</xdr:rowOff>
              </from>
              <to>
                <xdr:col>10</xdr:col>
                <xdr:colOff>676275</xdr:colOff>
                <xdr:row>24</xdr:row>
                <xdr:rowOff>152400</xdr:rowOff>
              </to>
            </anchor>
          </controlPr>
        </control>
      </mc:Choice>
      <mc:Fallback>
        <control shapeId="2060" r:id="rId6" name="Control 12"/>
      </mc:Fallback>
    </mc:AlternateContent>
    <mc:AlternateContent xmlns:mc="http://schemas.openxmlformats.org/markup-compatibility/2006">
      <mc:Choice Requires="x14">
        <control shapeId="2057" r:id="rId8" name="Control 9">
          <controlPr defaultSize="0" r:id="rId7">
            <anchor moveWithCells="1">
              <from>
                <xdr:col>10</xdr:col>
                <xdr:colOff>457200</xdr:colOff>
                <xdr:row>22</xdr:row>
                <xdr:rowOff>114300</xdr:rowOff>
              </from>
              <to>
                <xdr:col>10</xdr:col>
                <xdr:colOff>676275</xdr:colOff>
                <xdr:row>23</xdr:row>
                <xdr:rowOff>152400</xdr:rowOff>
              </to>
            </anchor>
          </controlPr>
        </control>
      </mc:Choice>
      <mc:Fallback>
        <control shapeId="2057" r:id="rId8" name="Control 9"/>
      </mc:Fallback>
    </mc:AlternateContent>
    <mc:AlternateContent xmlns:mc="http://schemas.openxmlformats.org/markup-compatibility/2006">
      <mc:Choice Requires="x14">
        <control shapeId="2054" r:id="rId9" name="Control 6">
          <controlPr defaultSize="0" r:id="rId4">
            <anchor moveWithCells="1">
              <from>
                <xdr:col>10</xdr:col>
                <xdr:colOff>457200</xdr:colOff>
                <xdr:row>21</xdr:row>
                <xdr:rowOff>114300</xdr:rowOff>
              </from>
              <to>
                <xdr:col>10</xdr:col>
                <xdr:colOff>676275</xdr:colOff>
                <xdr:row>22</xdr:row>
                <xdr:rowOff>152400</xdr:rowOff>
              </to>
            </anchor>
          </controlPr>
        </control>
      </mc:Choice>
      <mc:Fallback>
        <control shapeId="2054" r:id="rId9" name="Control 6"/>
      </mc:Fallback>
    </mc:AlternateContent>
    <mc:AlternateContent xmlns:mc="http://schemas.openxmlformats.org/markup-compatibility/2006">
      <mc:Choice Requires="x14">
        <control shapeId="2051" r:id="rId10" name="Control 3">
          <controlPr defaultSize="0" r:id="rId7">
            <anchor moveWithCells="1">
              <from>
                <xdr:col>10</xdr:col>
                <xdr:colOff>457200</xdr:colOff>
                <xdr:row>20</xdr:row>
                <xdr:rowOff>114300</xdr:rowOff>
              </from>
              <to>
                <xdr:col>10</xdr:col>
                <xdr:colOff>676275</xdr:colOff>
                <xdr:row>21</xdr:row>
                <xdr:rowOff>152400</xdr:rowOff>
              </to>
            </anchor>
          </controlPr>
        </control>
      </mc:Choice>
      <mc:Fallback>
        <control shapeId="2051" r:id="rId10" name="Control 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zoomScale="85" zoomScaleNormal="85" workbookViewId="0">
      <selection activeCell="S23" sqref="S23"/>
    </sheetView>
  </sheetViews>
  <sheetFormatPr baseColWidth="10" defaultColWidth="9.140625" defaultRowHeight="15" x14ac:dyDescent="0.25"/>
  <cols>
    <col min="1" max="1" width="33.7109375" style="15" customWidth="1"/>
    <col min="2" max="2" width="9.140625" style="64"/>
    <col min="3" max="3" width="11.42578125" style="15" customWidth="1"/>
    <col min="4" max="4" width="10.85546875" style="15" customWidth="1"/>
    <col min="5" max="5" width="11.140625" style="15" customWidth="1"/>
    <col min="6" max="7" width="10.85546875" style="15" customWidth="1"/>
    <col min="8" max="8" width="12.140625" style="15" customWidth="1"/>
    <col min="9" max="9" width="11.42578125" style="15" customWidth="1"/>
    <col min="10" max="10" width="10.42578125" style="15" customWidth="1"/>
    <col min="11" max="11" width="11" style="15" customWidth="1"/>
    <col min="12" max="12" width="11.42578125" style="15" customWidth="1"/>
    <col min="13" max="14" width="14.140625" style="15" bestFit="1" customWidth="1"/>
    <col min="15" max="16" width="15.42578125" style="22" customWidth="1"/>
    <col min="17" max="16384" width="9.140625" style="15"/>
  </cols>
  <sheetData>
    <row r="1" spans="1:17" ht="15.75" thickBot="1" x14ac:dyDescent="0.3"/>
    <row r="2" spans="1:17" s="16" customFormat="1" x14ac:dyDescent="0.25">
      <c r="A2" s="12"/>
      <c r="B2" s="12"/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 t="s">
        <v>10</v>
      </c>
      <c r="N2" s="13" t="s">
        <v>11</v>
      </c>
      <c r="O2" s="38" t="s">
        <v>22</v>
      </c>
      <c r="P2" s="49" t="s">
        <v>46</v>
      </c>
      <c r="Q2" s="17" t="s">
        <v>18</v>
      </c>
    </row>
    <row r="3" spans="1:17" s="18" customFormat="1" ht="15.75" thickBot="1" x14ac:dyDescent="0.3">
      <c r="A3" s="25" t="s">
        <v>19</v>
      </c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39"/>
      <c r="P3" s="50"/>
    </row>
    <row r="4" spans="1:17" x14ac:dyDescent="0.25">
      <c r="A4" s="235" t="s">
        <v>13</v>
      </c>
      <c r="B4" s="64" t="s">
        <v>14</v>
      </c>
      <c r="C4" s="14">
        <v>38213</v>
      </c>
      <c r="D4" s="14">
        <v>35421</v>
      </c>
      <c r="E4" s="14">
        <v>36897</v>
      </c>
      <c r="F4" s="14">
        <v>36571</v>
      </c>
      <c r="G4" s="14">
        <v>41209</v>
      </c>
      <c r="H4" s="14">
        <v>86159</v>
      </c>
      <c r="I4" s="14">
        <v>39881</v>
      </c>
      <c r="J4" s="14">
        <v>36798</v>
      </c>
      <c r="K4" s="14">
        <v>40124</v>
      </c>
      <c r="L4" s="14">
        <v>56808</v>
      </c>
      <c r="M4" s="14">
        <v>63023</v>
      </c>
      <c r="N4" s="14">
        <v>61680</v>
      </c>
      <c r="O4" s="40">
        <f t="shared" ref="O4:O13" si="0">AVERAGE(C4:N4)</f>
        <v>47732</v>
      </c>
      <c r="P4" s="51">
        <f>SUM(C4:N4)</f>
        <v>572784</v>
      </c>
    </row>
    <row r="5" spans="1:17" ht="15.75" thickBot="1" x14ac:dyDescent="0.3">
      <c r="A5" s="236"/>
      <c r="B5" s="65" t="s">
        <v>17</v>
      </c>
      <c r="C5" s="27"/>
      <c r="D5" s="28">
        <f>(D4-C4)/C4</f>
        <v>-7.3064140475754324E-2</v>
      </c>
      <c r="E5" s="29">
        <f>(E4-D4)/D4</f>
        <v>4.1670195646650289E-2</v>
      </c>
      <c r="F5" s="28">
        <f>(F4-E4)/E4</f>
        <v>-8.8354066726292115E-3</v>
      </c>
      <c r="G5" s="29">
        <f>(G4-F4)/F4</f>
        <v>0.12682179869295343</v>
      </c>
      <c r="H5" s="29">
        <f>(H4-G4)/G4</f>
        <v>1.0907811400422238</v>
      </c>
      <c r="I5" s="28">
        <f t="shared" ref="I5:N5" si="1">(I4-H4)/H4</f>
        <v>-0.53712322566417903</v>
      </c>
      <c r="J5" s="28">
        <f>(J4-I4)/I4</f>
        <v>-7.7304982322409163E-2</v>
      </c>
      <c r="K5" s="29">
        <f t="shared" si="1"/>
        <v>9.0385347029729876E-2</v>
      </c>
      <c r="L5" s="29">
        <f t="shared" si="1"/>
        <v>0.41581098594357491</v>
      </c>
      <c r="M5" s="29">
        <f t="shared" si="1"/>
        <v>0.10940360512603858</v>
      </c>
      <c r="N5" s="28">
        <f t="shared" si="1"/>
        <v>-2.1309680592799453E-2</v>
      </c>
      <c r="O5" s="41">
        <f t="shared" si="0"/>
        <v>0.10520323970485453</v>
      </c>
      <c r="P5" s="52"/>
    </row>
    <row r="6" spans="1:17" x14ac:dyDescent="0.25">
      <c r="A6" s="235" t="s">
        <v>12</v>
      </c>
      <c r="B6" s="64" t="s">
        <v>15</v>
      </c>
      <c r="C6" s="14">
        <v>29772</v>
      </c>
      <c r="D6" s="14">
        <v>27339</v>
      </c>
      <c r="E6" s="14">
        <v>28006</v>
      </c>
      <c r="F6" s="14">
        <v>28287</v>
      </c>
      <c r="G6" s="14">
        <v>31848</v>
      </c>
      <c r="H6" s="14">
        <v>68239</v>
      </c>
      <c r="I6" s="14">
        <v>28892</v>
      </c>
      <c r="J6" s="14">
        <v>27499</v>
      </c>
      <c r="K6" s="14">
        <v>29565</v>
      </c>
      <c r="L6" s="14">
        <v>43385</v>
      </c>
      <c r="M6" s="14">
        <v>45022</v>
      </c>
      <c r="N6" s="14">
        <v>42714</v>
      </c>
      <c r="O6" s="40">
        <f t="shared" si="0"/>
        <v>35880.666666666664</v>
      </c>
      <c r="P6" s="51">
        <f>SUM(C6:N6)</f>
        <v>430568</v>
      </c>
    </row>
    <row r="7" spans="1:17" ht="15.75" thickBot="1" x14ac:dyDescent="0.3">
      <c r="A7" s="237"/>
      <c r="B7" s="65" t="s">
        <v>16</v>
      </c>
      <c r="C7" s="27"/>
      <c r="D7" s="28">
        <f>(D6-C6)/C6</f>
        <v>-8.17210802095929E-2</v>
      </c>
      <c r="E7" s="29">
        <f t="shared" ref="E7:N7" si="2">(E6-D6)/D6</f>
        <v>2.4397381030761917E-2</v>
      </c>
      <c r="F7" s="29">
        <f t="shared" si="2"/>
        <v>1.0033564236235092E-2</v>
      </c>
      <c r="G7" s="29">
        <f t="shared" si="2"/>
        <v>0.12588821720224838</v>
      </c>
      <c r="H7" s="29">
        <f t="shared" si="2"/>
        <v>1.1426463200200954</v>
      </c>
      <c r="I7" s="28">
        <f t="shared" si="2"/>
        <v>-0.5766057533082255</v>
      </c>
      <c r="J7" s="28">
        <f t="shared" si="2"/>
        <v>-4.8214038488162816E-2</v>
      </c>
      <c r="K7" s="29">
        <f t="shared" si="2"/>
        <v>7.5130004727444633E-2</v>
      </c>
      <c r="L7" s="29">
        <f t="shared" si="2"/>
        <v>0.467444613563335</v>
      </c>
      <c r="M7" s="29">
        <f t="shared" si="2"/>
        <v>3.7731935000576235E-2</v>
      </c>
      <c r="N7" s="28">
        <f t="shared" si="2"/>
        <v>-5.1263826573675092E-2</v>
      </c>
      <c r="O7" s="41">
        <f t="shared" si="0"/>
        <v>0.10231521247282185</v>
      </c>
      <c r="P7" s="52"/>
    </row>
    <row r="8" spans="1:17" x14ac:dyDescent="0.25">
      <c r="A8" s="235" t="s">
        <v>20</v>
      </c>
      <c r="B8" s="64" t="s">
        <v>14</v>
      </c>
      <c r="C8" s="20">
        <v>0.43</v>
      </c>
      <c r="D8" s="20">
        <v>0.45</v>
      </c>
      <c r="E8" s="20">
        <v>0.44</v>
      </c>
      <c r="F8" s="20">
        <v>0.45</v>
      </c>
      <c r="G8" s="20">
        <v>0.47</v>
      </c>
      <c r="H8" s="20">
        <v>0.64</v>
      </c>
      <c r="I8" s="20">
        <v>0.5</v>
      </c>
      <c r="J8" s="20">
        <v>0.45</v>
      </c>
      <c r="K8" s="20">
        <v>0.46</v>
      </c>
      <c r="L8" s="20">
        <v>0.59</v>
      </c>
      <c r="M8" s="20">
        <v>0.63</v>
      </c>
      <c r="N8" s="20">
        <v>0.65</v>
      </c>
      <c r="O8" s="43">
        <f t="shared" si="0"/>
        <v>0.51333333333333342</v>
      </c>
      <c r="P8" s="54"/>
    </row>
    <row r="9" spans="1:17" ht="15.75" thickBot="1" x14ac:dyDescent="0.3">
      <c r="A9" s="237"/>
      <c r="B9" s="65" t="s">
        <v>17</v>
      </c>
      <c r="C9" s="27"/>
      <c r="D9" s="28">
        <f>(D8-C8)/C8</f>
        <v>4.6511627906976785E-2</v>
      </c>
      <c r="E9" s="29">
        <f t="shared" ref="E9:N9" si="3">(E8-D8)/D8</f>
        <v>-2.222222222222224E-2</v>
      </c>
      <c r="F9" s="28">
        <f t="shared" si="3"/>
        <v>2.2727272727272749E-2</v>
      </c>
      <c r="G9" s="28">
        <f t="shared" si="3"/>
        <v>4.4444444444444363E-2</v>
      </c>
      <c r="H9" s="28">
        <f t="shared" si="3"/>
        <v>0.36170212765957455</v>
      </c>
      <c r="I9" s="29">
        <f t="shared" si="3"/>
        <v>-0.21875000000000003</v>
      </c>
      <c r="J9" s="29">
        <f t="shared" si="3"/>
        <v>-9.9999999999999978E-2</v>
      </c>
      <c r="K9" s="28">
        <f t="shared" si="3"/>
        <v>2.222222222222224E-2</v>
      </c>
      <c r="L9" s="28">
        <f t="shared" si="3"/>
        <v>0.28260869565217378</v>
      </c>
      <c r="M9" s="28">
        <f t="shared" si="3"/>
        <v>6.7796610169491595E-2</v>
      </c>
      <c r="N9" s="28">
        <f t="shared" si="3"/>
        <v>3.1746031746031772E-2</v>
      </c>
      <c r="O9" s="44">
        <f t="shared" si="0"/>
        <v>4.8980619118724138E-2</v>
      </c>
      <c r="P9" s="55"/>
    </row>
    <row r="10" spans="1:17" x14ac:dyDescent="0.25">
      <c r="A10" s="235" t="s">
        <v>21</v>
      </c>
      <c r="B10" s="64" t="s">
        <v>14</v>
      </c>
      <c r="C10" s="21">
        <v>3.96</v>
      </c>
      <c r="D10" s="21">
        <v>3.88</v>
      </c>
      <c r="E10" s="21">
        <v>3.88</v>
      </c>
      <c r="F10" s="21">
        <v>3.6</v>
      </c>
      <c r="G10" s="21">
        <v>3.36</v>
      </c>
      <c r="H10" s="21">
        <v>2.41</v>
      </c>
      <c r="I10" s="21">
        <v>3.35</v>
      </c>
      <c r="J10" s="21">
        <v>3.6</v>
      </c>
      <c r="K10" s="21">
        <v>3.6</v>
      </c>
      <c r="L10" s="21">
        <v>2.86</v>
      </c>
      <c r="M10" s="21">
        <v>2.72</v>
      </c>
      <c r="N10" s="21">
        <v>2.63</v>
      </c>
      <c r="O10" s="45">
        <f t="shared" si="0"/>
        <v>3.3208333333333342</v>
      </c>
      <c r="P10" s="56"/>
    </row>
    <row r="11" spans="1:17" ht="15.75" thickBot="1" x14ac:dyDescent="0.3">
      <c r="A11" s="237"/>
      <c r="B11" s="65" t="s">
        <v>17</v>
      </c>
      <c r="C11" s="27"/>
      <c r="D11" s="28">
        <f>(D10-C10)/C10</f>
        <v>-2.0202020202020221E-2</v>
      </c>
      <c r="E11" s="31">
        <f t="shared" ref="E11:N11" si="4">(E10-D10)/D10</f>
        <v>0</v>
      </c>
      <c r="F11" s="28">
        <f t="shared" si="4"/>
        <v>-7.2164948453608199E-2</v>
      </c>
      <c r="G11" s="28">
        <f t="shared" si="4"/>
        <v>-6.6666666666666721E-2</v>
      </c>
      <c r="H11" s="28">
        <f t="shared" si="4"/>
        <v>-0.28273809523809518</v>
      </c>
      <c r="I11" s="29">
        <f t="shared" si="4"/>
        <v>0.39004149377593356</v>
      </c>
      <c r="J11" s="29">
        <f t="shared" si="4"/>
        <v>7.4626865671641784E-2</v>
      </c>
      <c r="K11" s="31">
        <f t="shared" si="4"/>
        <v>0</v>
      </c>
      <c r="L11" s="28">
        <f t="shared" si="4"/>
        <v>-0.2055555555555556</v>
      </c>
      <c r="M11" s="28">
        <f t="shared" si="4"/>
        <v>-4.8951048951048841E-2</v>
      </c>
      <c r="N11" s="28">
        <f t="shared" si="4"/>
        <v>-3.3088235294117758E-2</v>
      </c>
      <c r="O11" s="44">
        <f t="shared" si="0"/>
        <v>-2.4063473719412472E-2</v>
      </c>
      <c r="P11" s="55"/>
    </row>
    <row r="12" spans="1:17" x14ac:dyDescent="0.25">
      <c r="A12" s="235" t="s">
        <v>23</v>
      </c>
      <c r="B12" s="64" t="s">
        <v>14</v>
      </c>
      <c r="C12" s="23">
        <v>3.16</v>
      </c>
      <c r="D12" s="23">
        <v>3.24</v>
      </c>
      <c r="E12" s="23">
        <v>3.27</v>
      </c>
      <c r="F12" s="23">
        <v>3.12</v>
      </c>
      <c r="G12" s="23">
        <v>3.03</v>
      </c>
      <c r="H12" s="23">
        <v>1.49</v>
      </c>
      <c r="I12" s="23">
        <v>3.06</v>
      </c>
      <c r="J12" s="23">
        <v>3.22</v>
      </c>
      <c r="K12" s="23">
        <v>3.2</v>
      </c>
      <c r="L12" s="23">
        <v>2.34</v>
      </c>
      <c r="M12" s="23">
        <v>2.23</v>
      </c>
      <c r="N12" s="23">
        <v>2.17</v>
      </c>
      <c r="O12" s="73">
        <f t="shared" si="0"/>
        <v>2.794166666666666</v>
      </c>
      <c r="P12" s="56"/>
    </row>
    <row r="13" spans="1:17" ht="15.75" thickBot="1" x14ac:dyDescent="0.3">
      <c r="A13" s="236"/>
      <c r="B13" s="65" t="s">
        <v>17</v>
      </c>
      <c r="C13" s="27"/>
      <c r="D13" s="33">
        <f>(D12-C12)/C12</f>
        <v>2.5316455696202552E-2</v>
      </c>
      <c r="E13" s="33">
        <f t="shared" ref="E13:N13" si="5">(E12-D12)/D12</f>
        <v>9.259259259259198E-3</v>
      </c>
      <c r="F13" s="28">
        <f t="shared" si="5"/>
        <v>-4.5871559633027498E-2</v>
      </c>
      <c r="G13" s="28">
        <f t="shared" si="5"/>
        <v>-2.8846153846153941E-2</v>
      </c>
      <c r="H13" s="28">
        <f t="shared" si="5"/>
        <v>-0.50825082508250818</v>
      </c>
      <c r="I13" s="33">
        <f t="shared" si="5"/>
        <v>1.0536912751677854</v>
      </c>
      <c r="J13" s="33">
        <f t="shared" si="5"/>
        <v>5.2287581699346448E-2</v>
      </c>
      <c r="K13" s="33">
        <f t="shared" si="5"/>
        <v>-6.2111801242236073E-3</v>
      </c>
      <c r="L13" s="28">
        <f t="shared" si="5"/>
        <v>-0.2687500000000001</v>
      </c>
      <c r="M13" s="28">
        <f t="shared" si="5"/>
        <v>-4.700854700854696E-2</v>
      </c>
      <c r="N13" s="28">
        <f t="shared" si="5"/>
        <v>-2.6905829596412582E-2</v>
      </c>
      <c r="O13" s="46">
        <f t="shared" si="0"/>
        <v>1.8973679684701882E-2</v>
      </c>
      <c r="P13" s="57"/>
    </row>
    <row r="14" spans="1:17" s="18" customFormat="1" ht="15.75" thickBot="1" x14ac:dyDescent="0.3">
      <c r="A14" s="30" t="s">
        <v>24</v>
      </c>
      <c r="B14" s="66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47"/>
      <c r="P14" s="58"/>
    </row>
    <row r="15" spans="1:17" x14ac:dyDescent="0.25">
      <c r="A15" s="235" t="s">
        <v>25</v>
      </c>
      <c r="B15" s="64" t="s">
        <v>14</v>
      </c>
      <c r="C15" s="21">
        <v>0</v>
      </c>
      <c r="D15" s="15">
        <v>20</v>
      </c>
      <c r="E15" s="15">
        <v>60</v>
      </c>
      <c r="F15" s="15">
        <v>84</v>
      </c>
      <c r="G15" s="15">
        <v>70</v>
      </c>
      <c r="H15" s="15">
        <v>139</v>
      </c>
      <c r="I15" s="15">
        <v>125</v>
      </c>
      <c r="J15" s="15">
        <v>137</v>
      </c>
      <c r="K15" s="15">
        <v>172</v>
      </c>
      <c r="L15" s="15">
        <v>132</v>
      </c>
      <c r="M15" s="15">
        <v>192</v>
      </c>
      <c r="N15" s="15">
        <v>138</v>
      </c>
      <c r="O15" s="45">
        <f t="shared" ref="O15:O36" si="6">AVERAGE(C15:N15)</f>
        <v>105.75</v>
      </c>
      <c r="P15" s="59">
        <f>SUM(C15:N15)</f>
        <v>1269</v>
      </c>
    </row>
    <row r="16" spans="1:17" ht="15.75" thickBot="1" x14ac:dyDescent="0.3">
      <c r="A16" s="236"/>
      <c r="B16" s="65" t="s">
        <v>17</v>
      </c>
      <c r="C16" s="27"/>
      <c r="D16" s="27"/>
      <c r="E16" s="33">
        <f t="shared" ref="E16:M16" si="7">(E15-D15)/D15</f>
        <v>2</v>
      </c>
      <c r="F16" s="33">
        <f t="shared" si="7"/>
        <v>0.4</v>
      </c>
      <c r="G16" s="28">
        <f t="shared" si="7"/>
        <v>-0.16666666666666666</v>
      </c>
      <c r="H16" s="33">
        <f t="shared" si="7"/>
        <v>0.98571428571428577</v>
      </c>
      <c r="I16" s="28">
        <f t="shared" si="7"/>
        <v>-0.10071942446043165</v>
      </c>
      <c r="J16" s="33">
        <f t="shared" si="7"/>
        <v>9.6000000000000002E-2</v>
      </c>
      <c r="K16" s="33">
        <f t="shared" si="7"/>
        <v>0.25547445255474455</v>
      </c>
      <c r="L16" s="28">
        <f t="shared" si="7"/>
        <v>-0.23255813953488372</v>
      </c>
      <c r="M16" s="33">
        <f t="shared" si="7"/>
        <v>0.45454545454545453</v>
      </c>
      <c r="N16" s="28">
        <f>(N15-M15)/M15</f>
        <v>-0.28125</v>
      </c>
      <c r="O16" s="46">
        <f t="shared" si="6"/>
        <v>0.34105399621525034</v>
      </c>
      <c r="P16" s="57"/>
    </row>
    <row r="17" spans="1:16" x14ac:dyDescent="0.25">
      <c r="A17" s="238" t="s">
        <v>33</v>
      </c>
      <c r="B17" s="64" t="s">
        <v>14</v>
      </c>
      <c r="C17" s="19">
        <v>0</v>
      </c>
      <c r="D17" s="19">
        <v>5.9999999999999995E-4</v>
      </c>
      <c r="E17" s="19">
        <v>1.6000000000000001E-3</v>
      </c>
      <c r="F17" s="19">
        <v>2.3E-3</v>
      </c>
      <c r="G17" s="19">
        <v>1.6999999999999999E-3</v>
      </c>
      <c r="H17" s="19">
        <v>1.6000000000000001E-3</v>
      </c>
      <c r="I17" s="19">
        <v>3.0999999999999999E-3</v>
      </c>
      <c r="J17" s="19">
        <v>3.7000000000000002E-3</v>
      </c>
      <c r="K17" s="19">
        <v>4.3E-3</v>
      </c>
      <c r="L17" s="19">
        <v>2.3E-3</v>
      </c>
      <c r="M17" s="19">
        <v>3.0999999999999999E-3</v>
      </c>
      <c r="N17" s="19">
        <v>2.2000000000000001E-3</v>
      </c>
      <c r="O17" s="42">
        <f t="shared" si="6"/>
        <v>2.2083333333333334E-3</v>
      </c>
      <c r="P17" s="53"/>
    </row>
    <row r="18" spans="1:16" ht="15.75" thickBot="1" x14ac:dyDescent="0.3">
      <c r="A18" s="241"/>
      <c r="B18" s="65" t="s">
        <v>17</v>
      </c>
      <c r="C18" s="27"/>
      <c r="D18" s="27"/>
      <c r="E18" s="29">
        <f>(E17-D17)/D17</f>
        <v>1.6666666666666667</v>
      </c>
      <c r="F18" s="29">
        <f t="shared" ref="F18:N18" si="8">(F17-E17)/E17</f>
        <v>0.43749999999999989</v>
      </c>
      <c r="G18" s="28">
        <f t="shared" si="8"/>
        <v>-0.26086956521739135</v>
      </c>
      <c r="H18" s="28">
        <f t="shared" si="8"/>
        <v>-5.8823529411764608E-2</v>
      </c>
      <c r="I18" s="29">
        <f t="shared" si="8"/>
        <v>0.93749999999999989</v>
      </c>
      <c r="J18" s="29">
        <f t="shared" si="8"/>
        <v>0.1935483870967743</v>
      </c>
      <c r="K18" s="29">
        <f t="shared" si="8"/>
        <v>0.16216216216216212</v>
      </c>
      <c r="L18" s="28">
        <f t="shared" si="8"/>
        <v>-0.46511627906976744</v>
      </c>
      <c r="M18" s="29">
        <f>(M17-L17)/L17</f>
        <v>0.34782608695652173</v>
      </c>
      <c r="N18" s="28">
        <f t="shared" si="8"/>
        <v>-0.2903225806451612</v>
      </c>
      <c r="O18" s="46">
        <f t="shared" si="6"/>
        <v>0.26700713485380401</v>
      </c>
      <c r="P18" s="57"/>
    </row>
    <row r="19" spans="1:16" x14ac:dyDescent="0.25">
      <c r="A19" s="238" t="s">
        <v>45</v>
      </c>
      <c r="B19" s="64" t="s">
        <v>14</v>
      </c>
      <c r="C19" s="63"/>
      <c r="D19" s="63"/>
      <c r="E19" s="63">
        <v>118739</v>
      </c>
      <c r="F19" s="63">
        <v>185825</v>
      </c>
      <c r="G19" s="63">
        <v>223524</v>
      </c>
      <c r="H19" s="63">
        <v>214230</v>
      </c>
      <c r="I19" s="63">
        <v>106188</v>
      </c>
      <c r="J19" s="63">
        <v>135355</v>
      </c>
      <c r="K19" s="63">
        <v>96785</v>
      </c>
      <c r="L19" s="63">
        <v>94095</v>
      </c>
      <c r="M19" s="63">
        <v>282098</v>
      </c>
      <c r="N19" s="63">
        <v>115220</v>
      </c>
      <c r="O19" s="48">
        <f t="shared" si="6"/>
        <v>157205.9</v>
      </c>
      <c r="P19" s="60">
        <f>SUM(C19:N19)</f>
        <v>1572059</v>
      </c>
    </row>
    <row r="20" spans="1:16" ht="15.75" thickBot="1" x14ac:dyDescent="0.3">
      <c r="A20" s="239"/>
      <c r="B20" s="65" t="s">
        <v>17</v>
      </c>
      <c r="C20" s="27"/>
      <c r="D20" s="34"/>
      <c r="E20" s="35"/>
      <c r="F20" s="29">
        <f>(F19-E19)/E19</f>
        <v>0.56498707248671454</v>
      </c>
      <c r="G20" s="29">
        <f t="shared" ref="G20:L20" si="9">(G19-F19)/F19</f>
        <v>0.20287367146508811</v>
      </c>
      <c r="H20" s="28">
        <f t="shared" si="9"/>
        <v>-4.1579427712460405E-2</v>
      </c>
      <c r="I20" s="28">
        <f t="shared" si="9"/>
        <v>-0.50432712505251365</v>
      </c>
      <c r="J20" s="29">
        <f t="shared" si="9"/>
        <v>0.27467322107959469</v>
      </c>
      <c r="K20" s="28">
        <f t="shared" si="9"/>
        <v>-0.28495437922500094</v>
      </c>
      <c r="L20" s="28">
        <f t="shared" si="9"/>
        <v>-2.7793563052125846E-2</v>
      </c>
      <c r="M20" s="29">
        <f>(M19-L19)/L19</f>
        <v>1.9980126467931345</v>
      </c>
      <c r="N20" s="28">
        <f t="shared" ref="N20" si="10">(N19-M19)/M19</f>
        <v>-0.59156037972619446</v>
      </c>
      <c r="O20" s="46">
        <f t="shared" si="6"/>
        <v>0.17670352633958183</v>
      </c>
      <c r="P20" s="57"/>
    </row>
    <row r="21" spans="1:16" x14ac:dyDescent="0.25">
      <c r="A21" s="238" t="s">
        <v>26</v>
      </c>
      <c r="B21" s="64" t="s">
        <v>14</v>
      </c>
      <c r="C21" s="20">
        <v>0.76900000000000002</v>
      </c>
      <c r="D21" s="24">
        <v>0.623</v>
      </c>
      <c r="E21" s="20">
        <v>0.42</v>
      </c>
      <c r="F21" s="20">
        <v>0.48</v>
      </c>
      <c r="G21" s="20">
        <v>0.49099999999999999</v>
      </c>
      <c r="H21" s="20">
        <v>0.46100000000000002</v>
      </c>
      <c r="I21" s="20">
        <v>0.45700000000000002</v>
      </c>
      <c r="J21" s="20">
        <v>0.45</v>
      </c>
      <c r="K21" s="20">
        <v>0.437</v>
      </c>
      <c r="L21" s="20">
        <v>0.46400000000000002</v>
      </c>
      <c r="M21" s="20">
        <v>0.45899999999999996</v>
      </c>
      <c r="N21" s="20">
        <v>0.45600000000000002</v>
      </c>
      <c r="O21" s="43">
        <f t="shared" si="6"/>
        <v>0.49725000000000003</v>
      </c>
      <c r="P21" s="54"/>
    </row>
    <row r="22" spans="1:16" ht="15.75" thickBot="1" x14ac:dyDescent="0.3">
      <c r="A22" s="241"/>
      <c r="B22" s="65" t="s">
        <v>17</v>
      </c>
      <c r="C22" s="27"/>
      <c r="D22" s="36">
        <f>(D21-C21)/C21</f>
        <v>-0.18985695708712616</v>
      </c>
      <c r="E22" s="36">
        <f t="shared" ref="E22:N22" si="11">(E21-D21)/D21</f>
        <v>-0.3258426966292135</v>
      </c>
      <c r="F22" s="37">
        <f t="shared" si="11"/>
        <v>0.14285714285714285</v>
      </c>
      <c r="G22" s="37">
        <f t="shared" si="11"/>
        <v>2.2916666666666689E-2</v>
      </c>
      <c r="H22" s="36">
        <f t="shared" si="11"/>
        <v>-6.1099796334012163E-2</v>
      </c>
      <c r="I22" s="36">
        <f t="shared" si="11"/>
        <v>-8.6767895878525018E-3</v>
      </c>
      <c r="J22" s="36">
        <f t="shared" si="11"/>
        <v>-1.5317286652078788E-2</v>
      </c>
      <c r="K22" s="36">
        <f t="shared" si="11"/>
        <v>-2.8888888888888915E-2</v>
      </c>
      <c r="L22" s="37">
        <f t="shared" si="11"/>
        <v>6.1784897025171683E-2</v>
      </c>
      <c r="M22" s="36">
        <f t="shared" si="11"/>
        <v>-1.0775862068965646E-2</v>
      </c>
      <c r="N22" s="36">
        <f t="shared" si="11"/>
        <v>-6.5359477124181864E-3</v>
      </c>
      <c r="O22" s="41">
        <f t="shared" si="6"/>
        <v>-3.8130501673779502E-2</v>
      </c>
      <c r="P22" s="52"/>
    </row>
    <row r="23" spans="1:16" x14ac:dyDescent="0.25">
      <c r="A23" s="238" t="s">
        <v>27</v>
      </c>
      <c r="B23" s="64" t="s">
        <v>14</v>
      </c>
      <c r="C23" s="61">
        <v>227</v>
      </c>
      <c r="D23" s="62">
        <v>224</v>
      </c>
      <c r="E23" s="61">
        <v>58</v>
      </c>
      <c r="F23" s="61">
        <v>84</v>
      </c>
      <c r="G23" s="61">
        <v>70</v>
      </c>
      <c r="H23" s="61">
        <v>135</v>
      </c>
      <c r="I23" s="61">
        <v>125</v>
      </c>
      <c r="J23" s="61">
        <v>134</v>
      </c>
      <c r="K23" s="61">
        <v>171</v>
      </c>
      <c r="L23" s="61">
        <v>129</v>
      </c>
      <c r="M23" s="61">
        <v>171</v>
      </c>
      <c r="N23" s="61">
        <v>133</v>
      </c>
      <c r="O23" s="40">
        <f t="shared" si="6"/>
        <v>138.41666666666666</v>
      </c>
      <c r="P23" s="59">
        <f>SUM(C23:N23)</f>
        <v>1661</v>
      </c>
    </row>
    <row r="24" spans="1:16" ht="15.75" thickBot="1" x14ac:dyDescent="0.3">
      <c r="A24" s="239"/>
      <c r="B24" s="65" t="s">
        <v>17</v>
      </c>
      <c r="C24" s="27"/>
      <c r="D24" s="37">
        <f>(D23-C23)/C23</f>
        <v>-1.3215859030837005E-2</v>
      </c>
      <c r="E24" s="37">
        <f t="shared" ref="E24:N24" si="12">(E23-D23)/D23</f>
        <v>-0.7410714285714286</v>
      </c>
      <c r="F24" s="36">
        <f t="shared" si="12"/>
        <v>0.44827586206896552</v>
      </c>
      <c r="G24" s="37">
        <f t="shared" si="12"/>
        <v>-0.16666666666666666</v>
      </c>
      <c r="H24" s="36">
        <f t="shared" si="12"/>
        <v>0.9285714285714286</v>
      </c>
      <c r="I24" s="37">
        <f t="shared" si="12"/>
        <v>-7.407407407407407E-2</v>
      </c>
      <c r="J24" s="36">
        <f t="shared" si="12"/>
        <v>7.1999999999999995E-2</v>
      </c>
      <c r="K24" s="36">
        <f t="shared" si="12"/>
        <v>0.27611940298507465</v>
      </c>
      <c r="L24" s="37">
        <f t="shared" si="12"/>
        <v>-0.24561403508771928</v>
      </c>
      <c r="M24" s="36">
        <f t="shared" si="12"/>
        <v>0.32558139534883723</v>
      </c>
      <c r="N24" s="37">
        <f t="shared" si="12"/>
        <v>-0.22222222222222221</v>
      </c>
      <c r="O24" s="46">
        <f t="shared" si="6"/>
        <v>5.3425800301941655E-2</v>
      </c>
      <c r="P24" s="57"/>
    </row>
    <row r="25" spans="1:16" x14ac:dyDescent="0.25">
      <c r="A25" s="238" t="s">
        <v>28</v>
      </c>
      <c r="B25" s="64" t="s">
        <v>14</v>
      </c>
      <c r="C25" s="15">
        <v>108</v>
      </c>
      <c r="D25" s="21">
        <v>165</v>
      </c>
      <c r="E25" s="15">
        <v>225</v>
      </c>
      <c r="F25" s="15">
        <v>214</v>
      </c>
      <c r="G25" s="15">
        <v>240</v>
      </c>
      <c r="H25" s="15">
        <v>244</v>
      </c>
      <c r="I25" s="15">
        <v>202</v>
      </c>
      <c r="J25" s="15">
        <v>222</v>
      </c>
      <c r="K25" s="15">
        <v>230</v>
      </c>
      <c r="L25" s="15">
        <v>212</v>
      </c>
      <c r="M25" s="15">
        <v>222</v>
      </c>
      <c r="N25" s="15">
        <v>195</v>
      </c>
      <c r="O25" s="40">
        <f t="shared" si="6"/>
        <v>206.58333333333334</v>
      </c>
      <c r="P25" s="59">
        <f>SUM(C25:N25)</f>
        <v>2479</v>
      </c>
    </row>
    <row r="26" spans="1:16" ht="15.75" thickBot="1" x14ac:dyDescent="0.3">
      <c r="A26" s="239"/>
      <c r="B26" s="65" t="s">
        <v>17</v>
      </c>
      <c r="C26" s="27"/>
      <c r="D26" s="36">
        <f>(D25-C25)/C25</f>
        <v>0.52777777777777779</v>
      </c>
      <c r="E26" s="36">
        <f t="shared" ref="E26:N26" si="13">(E25-D25)/D25</f>
        <v>0.36363636363636365</v>
      </c>
      <c r="F26" s="37">
        <f t="shared" si="13"/>
        <v>-4.8888888888888891E-2</v>
      </c>
      <c r="G26" s="36">
        <f t="shared" si="13"/>
        <v>0.12149532710280374</v>
      </c>
      <c r="H26" s="36">
        <f t="shared" si="13"/>
        <v>1.6666666666666666E-2</v>
      </c>
      <c r="I26" s="37">
        <f t="shared" si="13"/>
        <v>-0.1721311475409836</v>
      </c>
      <c r="J26" s="36">
        <f t="shared" si="13"/>
        <v>9.9009900990099015E-2</v>
      </c>
      <c r="K26" s="36">
        <f t="shared" si="13"/>
        <v>3.6036036036036036E-2</v>
      </c>
      <c r="L26" s="37">
        <f t="shared" si="13"/>
        <v>-7.8260869565217397E-2</v>
      </c>
      <c r="M26" s="37">
        <f t="shared" si="13"/>
        <v>4.716981132075472E-2</v>
      </c>
      <c r="N26" s="37">
        <f t="shared" si="13"/>
        <v>-0.12162162162162163</v>
      </c>
      <c r="O26" s="46">
        <f t="shared" si="6"/>
        <v>7.18990323557991E-2</v>
      </c>
      <c r="P26" s="57"/>
    </row>
    <row r="27" spans="1:16" x14ac:dyDescent="0.25">
      <c r="A27" s="238" t="s">
        <v>29</v>
      </c>
      <c r="B27" s="64" t="s">
        <v>14</v>
      </c>
      <c r="C27" s="15">
        <v>35</v>
      </c>
      <c r="D27" s="21">
        <v>74</v>
      </c>
      <c r="E27" s="15">
        <v>103</v>
      </c>
      <c r="F27" s="15">
        <v>106</v>
      </c>
      <c r="G27" s="15">
        <v>84</v>
      </c>
      <c r="H27" s="15">
        <v>121</v>
      </c>
      <c r="I27" s="15">
        <v>90</v>
      </c>
      <c r="J27" s="15">
        <v>107</v>
      </c>
      <c r="K27" s="15">
        <v>118</v>
      </c>
      <c r="L27" s="15">
        <v>73</v>
      </c>
      <c r="M27" s="15">
        <v>95</v>
      </c>
      <c r="N27" s="15">
        <v>101</v>
      </c>
      <c r="O27" s="40">
        <f t="shared" si="6"/>
        <v>92.25</v>
      </c>
      <c r="P27" s="59">
        <f>SUM(C27:N27)</f>
        <v>1107</v>
      </c>
    </row>
    <row r="28" spans="1:16" ht="15.75" thickBot="1" x14ac:dyDescent="0.3">
      <c r="A28" s="239"/>
      <c r="B28" s="65" t="s">
        <v>17</v>
      </c>
      <c r="C28" s="27"/>
      <c r="D28" s="36">
        <f>(D27-C27)/C27</f>
        <v>1.1142857142857143</v>
      </c>
      <c r="E28" s="36">
        <f t="shared" ref="E28:N28" si="14">(E27-D27)/D27</f>
        <v>0.39189189189189189</v>
      </c>
      <c r="F28" s="36">
        <f t="shared" si="14"/>
        <v>2.9126213592233011E-2</v>
      </c>
      <c r="G28" s="37">
        <f t="shared" si="14"/>
        <v>-0.20754716981132076</v>
      </c>
      <c r="H28" s="36">
        <f t="shared" si="14"/>
        <v>0.44047619047619047</v>
      </c>
      <c r="I28" s="37">
        <f t="shared" si="14"/>
        <v>-0.256198347107438</v>
      </c>
      <c r="J28" s="36">
        <f t="shared" si="14"/>
        <v>0.18888888888888888</v>
      </c>
      <c r="K28" s="36">
        <f t="shared" si="14"/>
        <v>0.10280373831775701</v>
      </c>
      <c r="L28" s="37">
        <f t="shared" si="14"/>
        <v>-0.38135593220338981</v>
      </c>
      <c r="M28" s="36">
        <f t="shared" si="14"/>
        <v>0.30136986301369861</v>
      </c>
      <c r="N28" s="36">
        <f t="shared" si="14"/>
        <v>6.3157894736842107E-2</v>
      </c>
      <c r="O28" s="46">
        <f t="shared" si="6"/>
        <v>0.1624453587346425</v>
      </c>
      <c r="P28" s="57"/>
    </row>
    <row r="29" spans="1:16" x14ac:dyDescent="0.25">
      <c r="A29" s="238" t="s">
        <v>30</v>
      </c>
      <c r="B29" s="64" t="s">
        <v>14</v>
      </c>
      <c r="C29" s="15">
        <v>0</v>
      </c>
      <c r="D29" s="15">
        <v>65</v>
      </c>
      <c r="E29" s="15">
        <v>192</v>
      </c>
      <c r="F29" s="15">
        <v>157</v>
      </c>
      <c r="G29" s="15">
        <v>164</v>
      </c>
      <c r="H29" s="15">
        <v>175</v>
      </c>
      <c r="I29" s="15">
        <v>165</v>
      </c>
      <c r="J29" s="15">
        <v>154</v>
      </c>
      <c r="K29" s="15">
        <v>156</v>
      </c>
      <c r="L29" s="15">
        <v>163</v>
      </c>
      <c r="M29" s="15">
        <v>158</v>
      </c>
      <c r="N29" s="15">
        <v>136</v>
      </c>
      <c r="O29" s="40">
        <f t="shared" si="6"/>
        <v>140.41666666666666</v>
      </c>
      <c r="P29" s="59">
        <f>SUM(C29:N29)</f>
        <v>1685</v>
      </c>
    </row>
    <row r="30" spans="1:16" ht="15.75" thickBot="1" x14ac:dyDescent="0.3">
      <c r="A30" s="239"/>
      <c r="B30" s="65" t="s">
        <v>17</v>
      </c>
      <c r="C30" s="27"/>
      <c r="D30" s="36"/>
      <c r="E30" s="36">
        <f t="shared" ref="E30:N36" si="15">(E29-D29)/D29</f>
        <v>1.9538461538461538</v>
      </c>
      <c r="F30" s="37">
        <f t="shared" si="15"/>
        <v>-0.18229166666666666</v>
      </c>
      <c r="G30" s="36">
        <f t="shared" si="15"/>
        <v>4.4585987261146494E-2</v>
      </c>
      <c r="H30" s="36">
        <f t="shared" si="15"/>
        <v>6.7073170731707321E-2</v>
      </c>
      <c r="I30" s="37">
        <f t="shared" si="15"/>
        <v>-5.7142857142857141E-2</v>
      </c>
      <c r="J30" s="37">
        <f t="shared" si="15"/>
        <v>-6.6666666666666666E-2</v>
      </c>
      <c r="K30" s="36">
        <f t="shared" si="15"/>
        <v>1.2987012987012988E-2</v>
      </c>
      <c r="L30" s="36">
        <f t="shared" si="15"/>
        <v>4.4871794871794872E-2</v>
      </c>
      <c r="M30" s="36">
        <f t="shared" si="15"/>
        <v>-3.0674846625766871E-2</v>
      </c>
      <c r="N30" s="36">
        <f t="shared" si="15"/>
        <v>-0.13924050632911392</v>
      </c>
      <c r="O30" s="46">
        <f t="shared" si="6"/>
        <v>0.16473475762667439</v>
      </c>
      <c r="P30" s="57"/>
    </row>
    <row r="31" spans="1:16" x14ac:dyDescent="0.25">
      <c r="A31" s="238" t="s">
        <v>31</v>
      </c>
      <c r="B31" s="64" t="s">
        <v>14</v>
      </c>
      <c r="C31" s="15">
        <v>0</v>
      </c>
      <c r="D31" s="15">
        <v>12</v>
      </c>
      <c r="E31" s="15">
        <v>24</v>
      </c>
      <c r="F31" s="15">
        <v>31</v>
      </c>
      <c r="G31" s="15">
        <v>25</v>
      </c>
      <c r="H31" s="15">
        <v>21</v>
      </c>
      <c r="I31" s="15">
        <v>27</v>
      </c>
      <c r="J31" s="15">
        <v>27</v>
      </c>
      <c r="K31" s="15">
        <v>37</v>
      </c>
      <c r="L31" s="15">
        <v>29</v>
      </c>
      <c r="M31" s="15">
        <v>20</v>
      </c>
      <c r="N31" s="15">
        <v>25</v>
      </c>
      <c r="O31" s="40">
        <f t="shared" si="6"/>
        <v>23.166666666666668</v>
      </c>
      <c r="P31" s="59">
        <f>SUM(C31:N31)</f>
        <v>278</v>
      </c>
    </row>
    <row r="32" spans="1:16" ht="15.75" thickBot="1" x14ac:dyDescent="0.3">
      <c r="A32" s="239"/>
      <c r="B32" s="65" t="s">
        <v>17</v>
      </c>
      <c r="C32" s="27"/>
      <c r="D32" s="27"/>
      <c r="E32" s="36">
        <f t="shared" si="15"/>
        <v>1</v>
      </c>
      <c r="F32" s="36">
        <f t="shared" si="15"/>
        <v>0.29166666666666669</v>
      </c>
      <c r="G32" s="37">
        <f t="shared" si="15"/>
        <v>-0.19354838709677419</v>
      </c>
      <c r="H32" s="37">
        <f t="shared" si="15"/>
        <v>-0.16</v>
      </c>
      <c r="I32" s="36">
        <f t="shared" si="15"/>
        <v>0.2857142857142857</v>
      </c>
      <c r="J32" s="36">
        <f t="shared" si="15"/>
        <v>0</v>
      </c>
      <c r="K32" s="36">
        <f t="shared" si="15"/>
        <v>0.37037037037037035</v>
      </c>
      <c r="L32" s="37">
        <f t="shared" si="15"/>
        <v>-0.21621621621621623</v>
      </c>
      <c r="M32" s="37">
        <f t="shared" si="15"/>
        <v>-0.31034482758620691</v>
      </c>
      <c r="N32" s="37">
        <f t="shared" si="15"/>
        <v>0.25</v>
      </c>
      <c r="O32" s="46">
        <f t="shared" si="6"/>
        <v>0.13176418918521254</v>
      </c>
      <c r="P32" s="57"/>
    </row>
    <row r="33" spans="1:16" x14ac:dyDescent="0.25">
      <c r="A33" s="238" t="s">
        <v>32</v>
      </c>
      <c r="B33" s="64" t="s">
        <v>14</v>
      </c>
      <c r="C33" s="15">
        <v>0</v>
      </c>
      <c r="D33" s="15">
        <v>11</v>
      </c>
      <c r="E33" s="15">
        <v>18</v>
      </c>
      <c r="F33" s="15">
        <v>14</v>
      </c>
      <c r="G33" s="15">
        <v>12</v>
      </c>
      <c r="H33" s="15">
        <v>13</v>
      </c>
      <c r="I33" s="15">
        <v>7</v>
      </c>
      <c r="J33" s="15">
        <v>14</v>
      </c>
      <c r="K33" s="15">
        <v>17</v>
      </c>
      <c r="L33" s="15">
        <v>13</v>
      </c>
      <c r="M33" s="15">
        <v>9</v>
      </c>
      <c r="N33" s="15">
        <v>7</v>
      </c>
      <c r="O33" s="40">
        <f t="shared" si="6"/>
        <v>11.25</v>
      </c>
      <c r="P33" s="59">
        <f>SUM(C33:N33)</f>
        <v>135</v>
      </c>
    </row>
    <row r="34" spans="1:16" ht="15.75" thickBot="1" x14ac:dyDescent="0.3">
      <c r="A34" s="239"/>
      <c r="B34" s="65" t="s">
        <v>17</v>
      </c>
      <c r="C34" s="27"/>
      <c r="D34" s="27"/>
      <c r="E34" s="36">
        <f t="shared" si="15"/>
        <v>0.63636363636363635</v>
      </c>
      <c r="F34" s="37">
        <f t="shared" si="15"/>
        <v>-0.22222222222222221</v>
      </c>
      <c r="G34" s="37">
        <f t="shared" si="15"/>
        <v>-0.14285714285714285</v>
      </c>
      <c r="H34" s="36">
        <f t="shared" si="15"/>
        <v>8.3333333333333329E-2</v>
      </c>
      <c r="I34" s="37">
        <f t="shared" si="15"/>
        <v>-0.46153846153846156</v>
      </c>
      <c r="J34" s="36">
        <f t="shared" si="15"/>
        <v>1</v>
      </c>
      <c r="K34" s="36">
        <f t="shared" si="15"/>
        <v>0.21428571428571427</v>
      </c>
      <c r="L34" s="37">
        <f t="shared" si="15"/>
        <v>-0.23529411764705882</v>
      </c>
      <c r="M34" s="37">
        <f t="shared" si="15"/>
        <v>-0.30769230769230771</v>
      </c>
      <c r="N34" s="37">
        <f t="shared" si="15"/>
        <v>-0.22222222222222221</v>
      </c>
      <c r="O34" s="46">
        <f t="shared" si="6"/>
        <v>3.4215620980326857E-2</v>
      </c>
      <c r="P34" s="57"/>
    </row>
    <row r="35" spans="1:16" x14ac:dyDescent="0.25">
      <c r="A35" s="240" t="s">
        <v>34</v>
      </c>
      <c r="B35" s="64" t="s">
        <v>14</v>
      </c>
      <c r="C35" s="15">
        <v>0</v>
      </c>
      <c r="D35" s="15">
        <v>375</v>
      </c>
      <c r="E35" s="15">
        <v>1080</v>
      </c>
      <c r="F35" s="15">
        <v>912</v>
      </c>
      <c r="G35" s="15">
        <v>944</v>
      </c>
      <c r="H35" s="15">
        <v>1111</v>
      </c>
      <c r="I35" s="15">
        <v>948</v>
      </c>
      <c r="J35" s="15">
        <v>1020</v>
      </c>
      <c r="K35" s="15">
        <v>1161</v>
      </c>
      <c r="L35" s="15">
        <v>1026</v>
      </c>
      <c r="M35" s="15">
        <v>1222</v>
      </c>
      <c r="N35" s="15">
        <v>1035</v>
      </c>
      <c r="O35" s="40">
        <f t="shared" si="6"/>
        <v>902.83333333333337</v>
      </c>
      <c r="P35" s="59">
        <f>SUM(C35:N35)</f>
        <v>10834</v>
      </c>
    </row>
    <row r="36" spans="1:16" ht="15.75" thickBot="1" x14ac:dyDescent="0.3">
      <c r="A36" s="237"/>
      <c r="B36" s="65" t="s">
        <v>17</v>
      </c>
      <c r="C36" s="27"/>
      <c r="D36" s="27"/>
      <c r="E36" s="36">
        <f t="shared" si="15"/>
        <v>1.88</v>
      </c>
      <c r="F36" s="36">
        <f t="shared" si="15"/>
        <v>-0.15555555555555556</v>
      </c>
      <c r="G36" s="36">
        <f t="shared" si="15"/>
        <v>3.5087719298245612E-2</v>
      </c>
      <c r="H36" s="36">
        <f t="shared" si="15"/>
        <v>0.17690677966101695</v>
      </c>
      <c r="I36" s="36">
        <f t="shared" si="15"/>
        <v>-0.1467146714671467</v>
      </c>
      <c r="J36" s="36">
        <f t="shared" si="15"/>
        <v>7.5949367088607597E-2</v>
      </c>
      <c r="K36" s="36">
        <f t="shared" si="15"/>
        <v>0.13823529411764707</v>
      </c>
      <c r="L36" s="36">
        <f t="shared" si="15"/>
        <v>-0.11627906976744186</v>
      </c>
      <c r="M36" s="36">
        <f t="shared" si="15"/>
        <v>0.19103313840155944</v>
      </c>
      <c r="N36" s="36">
        <f t="shared" si="15"/>
        <v>-0.15302782324058919</v>
      </c>
      <c r="O36" s="46">
        <f t="shared" si="6"/>
        <v>0.19256351785363432</v>
      </c>
      <c r="P36" s="57"/>
    </row>
  </sheetData>
  <mergeCells count="16">
    <mergeCell ref="A29:A30"/>
    <mergeCell ref="A31:A32"/>
    <mergeCell ref="A33:A34"/>
    <mergeCell ref="A35:A36"/>
    <mergeCell ref="A17:A18"/>
    <mergeCell ref="A19:A20"/>
    <mergeCell ref="A21:A22"/>
    <mergeCell ref="A23:A24"/>
    <mergeCell ref="A25:A26"/>
    <mergeCell ref="A27:A28"/>
    <mergeCell ref="A15:A16"/>
    <mergeCell ref="A4:A5"/>
    <mergeCell ref="A8:A9"/>
    <mergeCell ref="A10:A11"/>
    <mergeCell ref="A12:A13"/>
    <mergeCell ref="A6:A7"/>
  </mergeCells>
  <conditionalFormatting sqref="N28">
    <cfRule type="cellIs" dxfId="0" priority="1" operator="lessThan">
      <formula>0</formula>
    </cfRule>
  </conditionalFormatting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2017 Website</vt:lpstr>
      <vt:lpstr>2017 Website Graph</vt:lpstr>
      <vt:lpstr>2017 Newsletter</vt:lpstr>
      <vt:lpstr>2017 Emailing</vt:lpstr>
      <vt:lpstr>2016 Website</vt:lpstr>
    </vt:vector>
  </TitlesOfParts>
  <Company>Le Cordon Bleu Australia Pty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Yiu</dc:creator>
  <cp:lastModifiedBy>Gaëlle Vageon</cp:lastModifiedBy>
  <cp:lastPrinted>2017-05-17T11:31:54Z</cp:lastPrinted>
  <dcterms:created xsi:type="dcterms:W3CDTF">2016-11-29T02:30:52Z</dcterms:created>
  <dcterms:modified xsi:type="dcterms:W3CDTF">2018-02-22T09:30:11Z</dcterms:modified>
</cp:coreProperties>
</file>