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aph1_CA_bilan" sheetId="1" r:id="rId4"/>
    <sheet state="visible" name="Graph2_CA_travaille" sheetId="2" r:id="rId5"/>
    <sheet state="visible" name="Graph3_perf_mois" sheetId="3" r:id="rId6"/>
    <sheet state="visible" name="Graph4_evolution_CA_ventes" sheetId="4" r:id="rId7"/>
    <sheet state="visible" name="Graph5_repartition_CA_commissio" sheetId="5" r:id="rId8"/>
    <sheet state="visible" name="Graph6_CA_source" sheetId="6" r:id="rId9"/>
    <sheet state="visible" name="Graph7_ventes_bilan" sheetId="7" r:id="rId10"/>
    <sheet state="visible" name="Graph8_ventes_travaillees" sheetId="8" r:id="rId11"/>
    <sheet state="visible" name="Graph9_ventes_source_detail" sheetId="9" r:id="rId12"/>
    <sheet state="visible" name="Graph10_CA_source_detail" sheetId="10" r:id="rId13"/>
    <sheet state="visible" name="Graph11_depenses_mois" sheetId="11" r:id="rId14"/>
    <sheet state="visible" name="Graph12_ventes_agents_bilan" sheetId="12" r:id="rId15"/>
    <sheet state="visible" name="Graph13_CA_agents_bilan" sheetId="13" r:id="rId16"/>
    <sheet state="visible" name="Graph14_perf_mois_agents" sheetId="14" r:id="rId17"/>
    <sheet state="visible" name="Graph15_evolution_ventes_alex" sheetId="15" r:id="rId18"/>
    <sheet state="visible" name="Graph16_evolution_ventes_lisa" sheetId="16" r:id="rId19"/>
    <sheet state="visible" name="Graph17_sources_ventes_alex" sheetId="17" r:id="rId20"/>
    <sheet state="visible" name="Graph18_sources_ventes_lisa" sheetId="18" r:id="rId21"/>
    <sheet state="visible" name="Graph19_contribution_CA_all" sheetId="19" r:id="rId22"/>
    <sheet state="visible" name="Data_chiffre_affaires" sheetId="20" r:id="rId23"/>
    <sheet state="visible" name="Data_ventes" sheetId="21" r:id="rId24"/>
    <sheet state="visible" name="Data_commissions" sheetId="22" r:id="rId25"/>
    <sheet state="visible" name="Data_depenses" sheetId="23" r:id="rId26"/>
    <sheet state="visible" name="Data_investissements" sheetId="24" r:id="rId27"/>
    <sheet state="visible" name="Data_agents" sheetId="25" r:id="rId28"/>
    <sheet state="visible" name="Data_annees_prec" sheetId="26" r:id="rId29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">
      <text>
        <t xml:space="preserve">réellement travaillées (année en cours + reportées) PAS les ventes ajoutées de l'année N-1
	-Reside Immobilier</t>
      </text>
    </comment>
    <comment authorId="0" ref="B1">
      <text>
        <t xml:space="preserve">Comptées au bilan de l'année
	-Reside Immobilier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">
      <text>
        <t xml:space="preserve">ventes par acquisition leads (Realadvisor, formulaires...) + référencement naturel et avis + agence "appel notoriété"
	-Reside Immobilier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3">
      <text>
        <t xml:space="preserve">CA estimé avec 25 ventes Alex à 100% + 15 ventes Lisa à 40%
	-Gaelle Vageon</t>
      </text>
    </comment>
    <comment authorId="0" ref="A24">
      <text>
        <t xml:space="preserve">CA nécessaire pour couvrir l'ensemble des dépenses : courantes, exceptionnelles et notes de frais (dépenses comptées en TTC et divisées en 1,2 pour avoir le HT)
	-Reside Immobilier</t>
      </text>
    </comment>
    <comment authorId="0" ref="B8">
      <text>
        <t xml:space="preserve">CA ajouté de 2022 + activité réelle de 2023 (UNIQUEMENT ventes, pas autres services)
	-Reside Immobilier</t>
      </text>
    </comment>
    <comment authorId="0" ref="B7">
      <text>
        <t xml:space="preserve">CA de l'activité travaillée de 2023 : ventes réelles de l'année + autres services + ventes reportées à 2024
	-Reside Immobilier</t>
      </text>
    </comment>
    <comment authorId="0" ref="B6">
      <text>
        <t xml:space="preserve">CA des ventes de l'année (acte définitif) + autres services
	-Reside Immobilier</t>
      </text>
    </comment>
    <comment authorId="0" ref="B5">
      <text>
        <t xml:space="preserve">CA des compros 2023 reportés à 2024
	-Reside Immobilier</t>
      </text>
    </comment>
    <comment authorId="0" ref="B4">
      <text>
        <t xml:space="preserve">CA des autres services : location / location salle / pack
	-Reside Immobilier</t>
      </text>
    </comment>
    <comment authorId="0" ref="B3">
      <text>
        <t xml:space="preserve">CA des ventes effectuées et touchées en 2023 (acte définitif). N'inclus PAS les ventes reportées de 2022 et en 2024
	-Reside Immobilier</t>
      </text>
    </comment>
    <comment authorId="0" ref="B2">
      <text>
        <t xml:space="preserve">CA des compros 2022 signés et touchés en 2023
	-Reside Immobilier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11">
      <text>
        <t xml:space="preserve">TOTAL_DEPENSES_EXCEPTIONNELLES_HT
	-Reside Immobilier</t>
      </text>
    </comment>
    <comment authorId="0" ref="F8">
      <text>
        <t xml:space="preserve">DECAISSEMENTS_TOTAL_ANNEE_HT
	-Reside Immobilier</t>
      </text>
    </comment>
    <comment authorId="0" ref="B34">
      <text>
        <t xml:space="preserve">CHIFFRE PROVIENT DU DOC EXCEL DE SITUATION
	-Reside Immobilier</t>
      </text>
    </comment>
    <comment authorId="0" ref="A34">
      <text>
        <t xml:space="preserve">DÉCAISSEMENT TOTAL HT
	-Reside Immobilier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9">
      <text>
        <t xml:space="preserve">Voir feuille "Amortissements 2023" dans doc excel "Ventes 2023" montant corrigé en HT
	-Reside Immobilier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48">
      <text>
        <t xml:space="preserve">Contribution totale de Gaelle au CA HT rapporté par les ventes digitale (50% attribution) pour Alex et Lisa
	-Gaelle Vageon</t>
      </text>
    </comment>
    <comment authorId="0" ref="C46">
      <text>
        <t xml:space="preserve">CA HT total des ventes de source digitale (Alex + Lisa)
	-Reside Immobilier</t>
      </text>
    </comment>
    <comment authorId="0" ref="A58">
      <text>
        <t xml:space="preserve">Part du CA HT touché par RESIDE sur les ventes digitales attribuées à Alex, après versement commissions
	-Reside Immobilier</t>
      </text>
    </comment>
    <comment authorId="0" ref="A50">
      <text>
        <t xml:space="preserve">Part du CA HT touché par RESIDE sur les ventes digitales attribuées à Lisa, après versement commissions
	-Reside Immobilier</t>
      </text>
    </comment>
    <comment authorId="0" ref="A49">
      <text>
        <t xml:space="preserve">Sur les 65665€ HT rapportés par les ventes digitales, 39400€ ont été versés à Lisa en commissions
	-Reside Immobilier</t>
      </text>
    </comment>
    <comment authorId="0" ref="A46">
      <text>
        <t xml:space="preserve">CA HT total généré par les ventes de source digital attribuées à Lisa.
Les ventes de source digital - gérées par Lisa - ont rapportées 75665€
	-Reside Immobilier</t>
      </text>
    </comment>
    <comment authorId="0" ref="A48">
      <text>
        <t xml:space="preserve">Contribution de Gaelle au CA HT du bilan des ventes digitales attribuées à Lisa (9 ventes) - à 60%.
Gaelle a rapporté 45400€ HT à RESIDE sur les ventes de source digital (gérées par Lisa)
	-Reside Immobilier</t>
      </text>
    </comment>
    <comment authorId="0" ref="A47">
      <text>
        <t xml:space="preserve">Contribution de Lisa au CA HT du bilan des ventes digitales (9 ventes) - à 40%.
Lisa a rapporté 30265€ HT à RESIDE sur les ventes de source digital
	-Reside Immobilier</t>
      </text>
    </comment>
    <comment authorId="0" ref="A43">
      <text>
        <t xml:space="preserve">Contribution de Lisa au CA net (effectivement touché par RESIDE) du bilan (10 ventes) des ventes de son réseau perso
	-Reside Immobilier</t>
      </text>
    </comment>
    <comment authorId="0" ref="A41">
      <text>
        <t xml:space="preserve">Contribution de Lisa au CA HT du bilan (10 ventes) des ventes de son réseau perso
	-Reside Immobilier</t>
      </text>
    </comment>
  </commentList>
</comments>
</file>

<file path=xl/sharedStrings.xml><?xml version="1.0" encoding="utf-8"?>
<sst xmlns="http://schemas.openxmlformats.org/spreadsheetml/2006/main" count="357" uniqueCount="228">
  <si>
    <t xml:space="preserve"> </t>
  </si>
  <si>
    <t>COL_1</t>
  </si>
  <si>
    <t>CA_AJOUTE_2022</t>
  </si>
  <si>
    <t>CA_REEL_2023</t>
  </si>
  <si>
    <t>CA_AUTRES_SERVICES</t>
  </si>
  <si>
    <t>CRITERES</t>
  </si>
  <si>
    <t>CA_REPORTE_2024</t>
  </si>
  <si>
    <t>MOIS_2023</t>
  </si>
  <si>
    <t>CA_HT_2023</t>
  </si>
  <si>
    <t>CA_HT_2022</t>
  </si>
  <si>
    <t>VENTES_2023</t>
  </si>
  <si>
    <t>VENTES_2022</t>
  </si>
  <si>
    <t>JANVIER</t>
  </si>
  <si>
    <t>FEVRIER</t>
  </si>
  <si>
    <t>MARS</t>
  </si>
  <si>
    <t>AVRIL</t>
  </si>
  <si>
    <t>MAI</t>
  </si>
  <si>
    <t>JUIN</t>
  </si>
  <si>
    <t>JUILLET</t>
  </si>
  <si>
    <t>AOUT</t>
  </si>
  <si>
    <t>SEPTEMBRE</t>
  </si>
  <si>
    <t>OCTOBRE</t>
  </si>
  <si>
    <t>NOVEMBRE</t>
  </si>
  <si>
    <t>DECEMBRE</t>
  </si>
  <si>
    <t>ANNEE</t>
  </si>
  <si>
    <t>CA_HT</t>
  </si>
  <si>
    <t>VENTES</t>
  </si>
  <si>
    <t>CA_ENCAISSE</t>
  </si>
  <si>
    <t>COMMISSIONS</t>
  </si>
  <si>
    <t>SOURCE</t>
  </si>
  <si>
    <t>NOMBRE_VENTES</t>
  </si>
  <si>
    <t>MONTANT_CA</t>
  </si>
  <si>
    <t>%_SUR_CA</t>
  </si>
  <si>
    <t>RESEAU_PERSO</t>
  </si>
  <si>
    <t>NOTORIETE</t>
  </si>
  <si>
    <t>CLIENTS_ACHETEUR_VENDEUR</t>
  </si>
  <si>
    <t>DIGITAL</t>
  </si>
  <si>
    <t>RESEAU_PERSO_RECO</t>
  </si>
  <si>
    <t>RESEAU_PERSO_ANCIEN_CLIENT</t>
  </si>
  <si>
    <t>PHONING</t>
  </si>
  <si>
    <t>PROSPECTION_TERRAIN</t>
  </si>
  <si>
    <t>AGENCE_APPEL_NOTORIETE</t>
  </si>
  <si>
    <t>PANNEAU_VENTE</t>
  </si>
  <si>
    <t>AGENCE_PROXIMITE</t>
  </si>
  <si>
    <t>AGENCE_DELEGATION_MANDAT</t>
  </si>
  <si>
    <t>AGENCE_FORMULAIRE_ESTIMATION</t>
  </si>
  <si>
    <t>AGENCE_REALADVISOR</t>
  </si>
  <si>
    <t>AGENCE_REFERENCEMENT_NATUREL_AVIS</t>
  </si>
  <si>
    <t>VENTES_AJOUTE_2022</t>
  </si>
  <si>
    <t>VENTES_REELLES_2023</t>
  </si>
  <si>
    <t>VENTES_REPORTEES_2024</t>
  </si>
  <si>
    <t>VENTES_TRAVAILLE</t>
  </si>
  <si>
    <t>MANDATS_TOTAL</t>
  </si>
  <si>
    <t>TAUX_MANDATS_VENDUS</t>
  </si>
  <si>
    <t>MOIS</t>
  </si>
  <si>
    <t>DEPENSES_COURANTES</t>
  </si>
  <si>
    <t>DEPENSES_EXCEPTIONNELLES</t>
  </si>
  <si>
    <t>DEPENSES_NOTES_DE_FRAIS</t>
  </si>
  <si>
    <t>DEPENSES_COMMISSIONS_HT</t>
  </si>
  <si>
    <t>DEPENSES_TVA</t>
  </si>
  <si>
    <t>DEPENSES_SALAIRES</t>
  </si>
  <si>
    <t>VENTES_AGENT_BILAN_2023_ALEX</t>
  </si>
  <si>
    <t>VENTES_AGENT_BILAN_2023_LISA</t>
  </si>
  <si>
    <t>VENTES_AGENT_BILAN_2023_AYLIN</t>
  </si>
  <si>
    <t>CA_HT_BILAN_ALEX</t>
  </si>
  <si>
    <t>CA_HT_BILAN_LISA</t>
  </si>
  <si>
    <t>CA_HT_BILAN_AYLIN</t>
  </si>
  <si>
    <t>NB_VENTES_BILAN_2023_ALEX</t>
  </si>
  <si>
    <t>NB_VENTES_BILAN_2023_LISA</t>
  </si>
  <si>
    <t>HONO_HT_BILAN_2023_ALEX</t>
  </si>
  <si>
    <t>HONO_HT_BILAN_2023_LISA</t>
  </si>
  <si>
    <t>COM_AGENT_HT_2023_ALEX</t>
  </si>
  <si>
    <t>COM_AGENT_HT_2023_LISA</t>
  </si>
  <si>
    <t>COM_RESIDE_ENCAISSEE_HT_2023_ALEX</t>
  </si>
  <si>
    <t>COM_RESIDE_ENCAISSEE_HT_2023</t>
  </si>
  <si>
    <t>VENTES_BILAN</t>
  </si>
  <si>
    <t>VENTES_REELLES</t>
  </si>
  <si>
    <t>VENTES_BILAN_RESEAU_PERSO_ALEX</t>
  </si>
  <si>
    <t>VENTES_BILAN_DIGITAL_ALEX</t>
  </si>
  <si>
    <t>VENTES_REPORTEES_RESEAU_PERSO_ALEX</t>
  </si>
  <si>
    <t>VENTES_REPORTEES_DIGITAL_ALEX</t>
  </si>
  <si>
    <t>VENTES_BILAN_RESEAU_PERSO_LISA</t>
  </si>
  <si>
    <t>VENTES_BILAN_DIGITAL_LISA</t>
  </si>
  <si>
    <t>VENTES_BILAN_PROXIMITE_LISA</t>
  </si>
  <si>
    <t>VENTES_BILAN_DELEGATION_MANDAT_LISA</t>
  </si>
  <si>
    <t>VENTES_REPORTEES_RESEAU_PERSO_LISA</t>
  </si>
  <si>
    <t>VENTES_REPORTEES_DIGITAL_LISA</t>
  </si>
  <si>
    <t>CONTRIBUTION_CA_NET_BILAN_ALEX</t>
  </si>
  <si>
    <t>CONTRIBUTION_CA_NET_BILAN_LISA</t>
  </si>
  <si>
    <t>CONTRIBUTION_CA_NET_BILAN_DIGITAL</t>
  </si>
  <si>
    <t>CONTRIBUTION_CA_NET_REPORTEES_ALEX</t>
  </si>
  <si>
    <t>CONTRIBUTION_CA_NET_REPORTEES_LISA</t>
  </si>
  <si>
    <t>CONTRIBUTION_CA_NET_REPORTEES_DIGITAL</t>
  </si>
  <si>
    <t>CA_AMELIORE_2023</t>
  </si>
  <si>
    <t>CA_TRAVAILLE</t>
  </si>
  <si>
    <t>CA_VENTES_BILAN</t>
  </si>
  <si>
    <t>TAUX_EVOLUTION_CA_N-1</t>
  </si>
  <si>
    <t>%_CA_ENCAISSE</t>
  </si>
  <si>
    <t>%_CA_COMMISSIONS</t>
  </si>
  <si>
    <t>%_CA_RESEAU_PERSO</t>
  </si>
  <si>
    <t>%_CA_NOTORIETE</t>
  </si>
  <si>
    <t>%_CA_CLIENTS_ACHETEUR_VENDEUR</t>
  </si>
  <si>
    <t>%_CA_DIGITAL</t>
  </si>
  <si>
    <t>CA_ESTIME_2024_HT</t>
  </si>
  <si>
    <t>CA_MIN_RENTABILITE_2024</t>
  </si>
  <si>
    <t>CA_ATTENDU_2024</t>
  </si>
  <si>
    <t>RESULTAT POTENTIEL_2024</t>
  </si>
  <si>
    <t>IS POTENTIEL_2024</t>
  </si>
  <si>
    <t>RESULTAT POTENTIEL_2023</t>
  </si>
  <si>
    <t>IS POTENTIEL_2023</t>
  </si>
  <si>
    <t>COL_2</t>
  </si>
  <si>
    <t>COL_3</t>
  </si>
  <si>
    <t>VENTES_AMELIOREES_2023</t>
  </si>
  <si>
    <t>TAUX_EVOLUTION_VENTES_N-1</t>
  </si>
  <si>
    <t>MANDATS_ANNULES</t>
  </si>
  <si>
    <t>MANDATS_VENDU_CONCURRENT</t>
  </si>
  <si>
    <t>VENDU_RESIDE</t>
  </si>
  <si>
    <t>MANDATS_STOCK</t>
  </si>
  <si>
    <t>Ventes Alex</t>
  </si>
  <si>
    <t>Ventes Lisa</t>
  </si>
  <si>
    <t>VENTES_ESTIMEES_2024</t>
  </si>
  <si>
    <t>VENTES_MIN_RENTABILITE</t>
  </si>
  <si>
    <t>VENTES_ATTENDUES_2024</t>
  </si>
  <si>
    <t>COMMISSIONS_BILAN</t>
  </si>
  <si>
    <t>COMMISSION_MOYENNE_HT</t>
  </si>
  <si>
    <t>COL_4</t>
  </si>
  <si>
    <t>COL_5</t>
  </si>
  <si>
    <t>TRESORERIE_JAN_N</t>
  </si>
  <si>
    <t>TRESORERIE_DEC_N</t>
  </si>
  <si>
    <t>DELTA_TRESORERIE</t>
  </si>
  <si>
    <t>ENCAISSEMENTS_TOTAL_ANNEE_TTC</t>
  </si>
  <si>
    <t>ENCAISSEMENTS_VENTES_TTC</t>
  </si>
  <si>
    <t>AUTRES_ENCAISSEMENTS_TTC</t>
  </si>
  <si>
    <t>DECAISSEMENTS_TOTAL_ANNEE_TTC</t>
  </si>
  <si>
    <t>TOTAL_COMMISSIONS_VERSEES_HT</t>
  </si>
  <si>
    <t>TOTAL_DEPENSES_COURANTES_TTC</t>
  </si>
  <si>
    <t>TOTAL_DEPENSES_EXCEPTIONNELLES_TTC</t>
  </si>
  <si>
    <t>TOTAL_NOTES_DE_FRAIS_TTC</t>
  </si>
  <si>
    <t>TOTAL_TVA</t>
  </si>
  <si>
    <t>TOTAL_SALAIRES</t>
  </si>
  <si>
    <t>TOTAL_DEPENSE_EN_+</t>
  </si>
  <si>
    <t>DEPENSES_COURANTES_ANNUELLES_ESTIMEES</t>
  </si>
  <si>
    <t>DEPENSES_COURANTES_MENSUELLES_ESTIMEES</t>
  </si>
  <si>
    <t>DIFF_DEPENSES_COURANTES</t>
  </si>
  <si>
    <t>DEPENSES_EXCEPTIONNELLES_ANNUELLES_ESTIMEES</t>
  </si>
  <si>
    <t>DEPENSES_EXCEPTIONNELLES_MENSUELLES_ESTIMEES</t>
  </si>
  <si>
    <t>DIFF_DEPENSES_EXCEPTIONNELLES</t>
  </si>
  <si>
    <t>DEPENSES_NOTES_FRAIS_ANNUELLES_ESTIMEES</t>
  </si>
  <si>
    <t>DEPENSES_NOTES_FRAIS_MENSUELLES_ESTIMEES</t>
  </si>
  <si>
    <t>DIFF_DEPENSES_NOTES_FRAIS</t>
  </si>
  <si>
    <t>TOTAL_DEPENSES_COURANTES_2024</t>
  </si>
  <si>
    <t>TOTAL_DEPENSES_EXCEPTIONNELLES_2024</t>
  </si>
  <si>
    <t>TOTAL_NOTES_DE_FRAIS_2024</t>
  </si>
  <si>
    <t>TOTAL_DEPENSES_2024_TTC</t>
  </si>
  <si>
    <t>PART_DEPENSES_CA_PREV</t>
  </si>
  <si>
    <t>PART_DEPENSES_CA_2023</t>
  </si>
  <si>
    <t>TOTAL_DEPENSES_COUR_EXCEP_FRAIS_SALAIRE_HT</t>
  </si>
  <si>
    <t>TOTAL_ENCAISSEMENTS_HT</t>
  </si>
  <si>
    <t>DOTATION_AMORTISSEMENTS_2023_ANCIEN_INVEST</t>
  </si>
  <si>
    <t>DOTATION_AMORTISSEMENTS_2023_INVEST_ANNEE</t>
  </si>
  <si>
    <t>DOTATION_TOTALE_AMORTISSEMENTS_2023</t>
  </si>
  <si>
    <t>DOTATION_TOTALE_AMORTISSEMENTS_2024</t>
  </si>
  <si>
    <t>MONTANT_TOTAL_HT_INVEST_ANNEE</t>
  </si>
  <si>
    <t>PART_CA_BIENS_AMORTISSABLES</t>
  </si>
  <si>
    <t>PART_DÉPENSES_EXCEP_BIENS_AMORTISSABLES</t>
  </si>
  <si>
    <t>DEPENSES_BIENS_AMORTISSABLES_HT</t>
  </si>
  <si>
    <t>PART_DÉPENSES_TOTALES_BIENS_AMORTISSABLES</t>
  </si>
  <si>
    <t>VENTES_BILAN_ALEX</t>
  </si>
  <si>
    <t>VENTES_BILAN_LISA</t>
  </si>
  <si>
    <t>VENTES_BILAN_AYLIN</t>
  </si>
  <si>
    <t>VENTES_AJOUTEES_ALEX</t>
  </si>
  <si>
    <t>VENTES_AJOUTEES_LISA</t>
  </si>
  <si>
    <t>VENTES_REELLES_ALEX</t>
  </si>
  <si>
    <t>VENTES_REELLES_LISA</t>
  </si>
  <si>
    <t>VENTES_REPORTEES_ALEX</t>
  </si>
  <si>
    <t>VENTES_REPORTEES_LISA</t>
  </si>
  <si>
    <t>CA_ENCAISSE_HT_ALEX</t>
  </si>
  <si>
    <t>CA_ENCAISSE_HT_LISA</t>
  </si>
  <si>
    <t>CA_ENCAISSE_HT_AYLIN</t>
  </si>
  <si>
    <t>CA_AJOUTE_HT_ALEX</t>
  </si>
  <si>
    <t>CA_AJOUTE_HT_LISA</t>
  </si>
  <si>
    <t>CA_REEL_HT_ALEX</t>
  </si>
  <si>
    <t>CA_REEL_HT_LISA</t>
  </si>
  <si>
    <t>CA_REPORTE_HT_ALEX</t>
  </si>
  <si>
    <t>CA_REPORTE_HT_LISA</t>
  </si>
  <si>
    <t>COM_VERSEE_HT_ALEX</t>
  </si>
  <si>
    <t>COM_VERSEE_HT_LISA</t>
  </si>
  <si>
    <t>COM_VERSEE_HT_AYLIN</t>
  </si>
  <si>
    <t>COM_VERSEE_HT_VENTES_AJOUTEES_2022_ALEX</t>
  </si>
  <si>
    <t>COM_VERSEE_HT_VENTES_AJOUTEES_2022_LISA</t>
  </si>
  <si>
    <t>COM_AGENT_REEL_2023_ALEX</t>
  </si>
  <si>
    <t>COM_AGENT_REEL_2023_LISA</t>
  </si>
  <si>
    <t>COM_AGENT_REPORTE_2024_ALEX</t>
  </si>
  <si>
    <t>COM_AGENT_REPORTE_2024_LISA</t>
  </si>
  <si>
    <t>CA_GAGNE_RESIDE_AGENT_ALEX</t>
  </si>
  <si>
    <t>CA_GAGNE_RESIDE_AGENT_LISA</t>
  </si>
  <si>
    <t>VENTES_LISA_SUR_TOTAL_LISA</t>
  </si>
  <si>
    <t>CONTRIBUTION_CA_HT_BILAN_RESEAU_PERSO_LISA</t>
  </si>
  <si>
    <t>PART_CA_RESEAU_PERSO_HT_VERSE_LISA</t>
  </si>
  <si>
    <t>CONTRIBUTION_CA_NET_BILAN_RESEAU_PERSO_LISA</t>
  </si>
  <si>
    <t>CONTRIBUTION_CA_HT_REPORTEES_RESEAU_PERSO_LISA</t>
  </si>
  <si>
    <t>CONTRIBUTION_CA_NET_REPORTEES_RESEAU_PERSO_LISA</t>
  </si>
  <si>
    <t>CA_HT_TOTAL_VENTES_DIGITALES_LISA</t>
  </si>
  <si>
    <t>CONTRIBUTION_CA_HT_BILAN_DIGITAL_LISA</t>
  </si>
  <si>
    <t>CONTRIBUTION_CA_HT_BILAN_DIGITAL_GAELLE</t>
  </si>
  <si>
    <t>PART_CA_DIGITAL_HT_VERSE_LISA</t>
  </si>
  <si>
    <t>PART_CA_HT_TOUCHE_RESIDE</t>
  </si>
  <si>
    <t>CONTRIBUTION_CA_HT_BILAN_RESEAU_PERSO_ALEX</t>
  </si>
  <si>
    <t>CONTRIBUTION_CA_NET_BILAN_RESEAU_PERSO_ALEX</t>
  </si>
  <si>
    <t>CONTRIBUTION_CA_HT_REPORTEES_RESEAU_PERSO_ALEX</t>
  </si>
  <si>
    <t>CONTRIBUTION_CA_NET_REPORTEES_RESEAU_PERSO_ALEX</t>
  </si>
  <si>
    <t>CA_HT_TOTAL_VENTES_DIGITALES_ALEX</t>
  </si>
  <si>
    <t>CONTRIBUTION_CA_HT_BILAN_DIGITAL_ALEX</t>
  </si>
  <si>
    <t>CA_HT_TOTAL_VENTES_NOTORIETE_ALEX</t>
  </si>
  <si>
    <t>CONTRIBUTION_CA_HT_BILAN_NOTORIETE_ALEX</t>
  </si>
  <si>
    <t>CONTRIBUTION_CA_HT_BILAN_NOTORIETE_GAELLE</t>
  </si>
  <si>
    <t>CA_HT_TOTAL_VENTES_NOTORIETE_LISA</t>
  </si>
  <si>
    <t>CONTRIBUTION_CA_HT_BILAN_NOTORIETE_LISA</t>
  </si>
  <si>
    <t>VENTES_2021</t>
  </si>
  <si>
    <t>VENTES_2020</t>
  </si>
  <si>
    <t>CA_HT_2021</t>
  </si>
  <si>
    <t>CA_HT_2020</t>
  </si>
  <si>
    <t>RESULTAT_2022</t>
  </si>
  <si>
    <t>RESULTAT_2021</t>
  </si>
  <si>
    <t>RESULTAT_2020</t>
  </si>
  <si>
    <t>IS_2022</t>
  </si>
  <si>
    <t>IS_2021</t>
  </si>
  <si>
    <t>IS_2020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</si>
</sst>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#,##0&quot;€&quot;"/>
  </numFmts>
  <fonts count="15">
    <font>
      <sz val="10.0"/>
      <color rgb="FF000000"/>
      <name val="Arial"/>
      <scheme val="minor"/>
    </font>
    <font>
      <b/>
      <sz val="9.0"/>
      <color rgb="FF000000"/>
      <name val="Arial"/>
      <scheme val="minor"/>
    </font>
    <font>
      <color theme="1"/>
      <name val="Arial"/>
      <scheme val="minor"/>
    </font>
    <font>
      <b/>
      <sz val="9.0"/>
      <color theme="1"/>
      <name val="Arial"/>
    </font>
    <font>
      <color theme="1"/>
      <name val="Arial"/>
    </font>
    <font>
      <sz val="9.0"/>
      <color theme="1"/>
      <name val="Arial"/>
    </font>
    <font>
      <sz val="9.0"/>
      <color theme="1"/>
      <name val="Arial"/>
      <scheme val="minor"/>
    </font>
    <font>
      <b/>
      <sz val="9.0"/>
      <color theme="1"/>
      <name val="Arial"/>
      <scheme val="minor"/>
    </font>
    <font>
      <b/>
      <sz val="9.0"/>
      <color rgb="FF38761D"/>
      <name val="Arial"/>
    </font>
    <font>
      <b/>
      <sz val="9.0"/>
      <color rgb="FFFF0000"/>
      <name val="Arial"/>
    </font>
    <font>
      <sz val="9.0"/>
      <color rgb="FF38761D"/>
      <name val="Arial"/>
    </font>
    <font>
      <sz val="9.0"/>
      <color rgb="FFFF0000"/>
      <name val="Arial"/>
    </font>
    <font>
      <sz val="9.0"/>
      <color rgb="FFCCCCCC"/>
      <name val="Arial"/>
    </font>
    <font>
      <b/>
      <sz val="9.0"/>
      <color rgb="FF666666"/>
      <name val="Arial"/>
    </font>
    <font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B7E1CD"/>
        <bgColor rgb="FFB7E1CD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EAD1DC"/>
        <bgColor rgb="FFEAD1DC"/>
      </patternFill>
    </fill>
  </fills>
  <borders count="4">
    <border/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</border>
    <border>
      <right style="thin">
        <color rgb="FF666666"/>
      </right>
      <top style="thin">
        <color rgb="FF666666"/>
      </top>
      <bottom style="thin">
        <color rgb="FF666666"/>
      </bottom>
    </border>
    <border>
      <top style="thin">
        <color rgb="FF666666"/>
      </top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3" fontId="1" numFmtId="0" xfId="0" applyAlignment="1" applyBorder="1" applyFill="1" applyFont="1">
      <alignment horizontal="center" readingOrder="0" shrinkToFit="0" vertical="center" wrapText="1"/>
    </xf>
    <xf borderId="1" fillId="4" fontId="1" numFmtId="0" xfId="0" applyAlignment="1" applyBorder="1" applyFill="1" applyFont="1">
      <alignment horizontal="center" readingOrder="0" shrinkToFit="0" vertical="center" wrapText="1"/>
    </xf>
    <xf borderId="0" fillId="0" fontId="2" numFmtId="0" xfId="0" applyAlignment="1" applyFont="1">
      <alignment readingOrder="0"/>
    </xf>
    <xf borderId="0" fillId="0" fontId="2" numFmtId="1" xfId="0" applyAlignment="1" applyFont="1" applyNumberFormat="1">
      <alignment readingOrder="0"/>
    </xf>
    <xf borderId="0" fillId="0" fontId="2" numFmtId="1" xfId="0" applyFont="1" applyNumberFormat="1"/>
    <xf borderId="0" fillId="0" fontId="2" numFmtId="0" xfId="0" applyAlignment="1" applyFont="1">
      <alignment readingOrder="0"/>
    </xf>
    <xf borderId="1" fillId="2" fontId="3" numFmtId="0" xfId="0" applyAlignment="1" applyBorder="1" applyFont="1">
      <alignment horizontal="center" readingOrder="0" vertical="bottom"/>
    </xf>
    <xf borderId="2" fillId="2" fontId="3" numFmtId="0" xfId="0" applyAlignment="1" applyBorder="1" applyFont="1">
      <alignment horizontal="center" readingOrder="0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4" numFmtId="1" xfId="0" applyAlignment="1" applyFont="1" applyNumberFormat="1">
      <alignment horizontal="right" vertical="bottom"/>
    </xf>
    <xf borderId="0" fillId="0" fontId="4" numFmtId="1" xfId="0" applyAlignment="1" applyFont="1" applyNumberFormat="1">
      <alignment vertical="bottom"/>
    </xf>
    <xf borderId="3" fillId="0" fontId="4" numFmtId="0" xfId="0" applyAlignment="1" applyBorder="1" applyFont="1">
      <alignment horizontal="right" vertical="bottom"/>
    </xf>
    <xf borderId="0" fillId="0" fontId="4" numFmtId="3" xfId="0" applyAlignment="1" applyFont="1" applyNumberFormat="1">
      <alignment vertical="bottom"/>
    </xf>
    <xf borderId="0" fillId="0" fontId="5" numFmtId="2" xfId="0" applyAlignment="1" applyFont="1" applyNumberFormat="1">
      <alignment horizontal="right" vertical="bottom"/>
    </xf>
    <xf borderId="0" fillId="0" fontId="6" numFmtId="0" xfId="0" applyFont="1"/>
    <xf borderId="0" fillId="0" fontId="4" numFmtId="0" xfId="0" applyAlignment="1" applyFont="1">
      <alignment shrinkToFit="0" vertical="bottom" wrapText="1"/>
    </xf>
    <xf borderId="0" fillId="0" fontId="4" numFmtId="10" xfId="0" applyAlignment="1" applyFont="1" applyNumberFormat="1">
      <alignment horizontal="right" vertical="bottom"/>
    </xf>
    <xf borderId="0" fillId="0" fontId="5" numFmtId="0" xfId="0" applyAlignment="1" applyFont="1">
      <alignment horizontal="left" readingOrder="0" vertical="bottom"/>
    </xf>
    <xf borderId="0" fillId="0" fontId="4" numFmtId="1" xfId="0" applyAlignment="1" applyFont="1" applyNumberFormat="1">
      <alignment horizontal="right" readingOrder="0" vertical="bottom"/>
    </xf>
    <xf borderId="0" fillId="0" fontId="5" numFmtId="0" xfId="0" applyAlignment="1" applyFont="1">
      <alignment horizontal="left" vertical="bottom"/>
    </xf>
    <xf borderId="1" fillId="2" fontId="7" numFmtId="0" xfId="0" applyAlignment="1" applyBorder="1" applyFont="1">
      <alignment horizontal="center" readingOrder="0" shrinkToFit="0" vertical="center" wrapText="1"/>
    </xf>
    <xf borderId="3" fillId="0" fontId="5" numFmtId="0" xfId="0" applyAlignment="1" applyBorder="1" applyFont="1">
      <alignment vertical="bottom"/>
    </xf>
    <xf borderId="0" fillId="0" fontId="4" numFmtId="164" xfId="0" applyAlignment="1" applyFont="1" applyNumberForma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6" numFmtId="1" xfId="0" applyFont="1" applyNumberFormat="1"/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8" numFmtId="165" xfId="0" applyAlignment="1" applyFont="1" applyNumberFormat="1">
      <alignment horizontal="right" vertical="bottom"/>
    </xf>
    <xf borderId="0" fillId="0" fontId="9" numFmtId="165" xfId="0" applyAlignment="1" applyFont="1" applyNumberFormat="1">
      <alignment horizontal="right" vertical="bottom"/>
    </xf>
    <xf borderId="0" fillId="0" fontId="10" numFmtId="165" xfId="0" applyAlignment="1" applyFont="1" applyNumberFormat="1">
      <alignment horizontal="right" vertical="bottom"/>
    </xf>
    <xf borderId="0" fillId="0" fontId="11" numFmtId="165" xfId="0" applyAlignment="1" applyFont="1" applyNumberFormat="1">
      <alignment horizontal="right" vertical="bottom"/>
    </xf>
    <xf borderId="0" fillId="0" fontId="9" numFmtId="165" xfId="0" applyAlignment="1" applyFont="1" applyNumberFormat="1">
      <alignment horizontal="right" readingOrder="0" vertical="bottom"/>
    </xf>
    <xf borderId="0" fillId="0" fontId="10" numFmtId="165" xfId="0" applyAlignment="1" applyFont="1" applyNumberFormat="1">
      <alignment horizontal="right" readingOrder="0" vertical="bottom"/>
    </xf>
    <xf borderId="0" fillId="0" fontId="12" numFmtId="0" xfId="0" applyAlignment="1" applyFont="1">
      <alignment horizontal="right" shrinkToFit="0" vertical="bottom" wrapText="1"/>
    </xf>
    <xf borderId="0" fillId="0" fontId="13" numFmtId="0" xfId="0" applyAlignment="1" applyFont="1">
      <alignment horizontal="right" shrinkToFit="0" vertical="bottom" wrapText="1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shrinkToFit="0" vertical="bottom" wrapText="1"/>
    </xf>
    <xf borderId="1" fillId="2" fontId="3" numFmtId="0" xfId="0" applyAlignment="1" applyBorder="1" applyFont="1">
      <alignment horizontal="center" readingOrder="0" shrinkToFit="0" vertical="bottom" wrapText="1"/>
    </xf>
    <xf borderId="2" fillId="2" fontId="3" numFmtId="0" xfId="0" applyAlignment="1" applyBorder="1" applyFont="1">
      <alignment horizontal="center" readingOrder="0" shrinkToFit="0" vertical="bottom" wrapText="1"/>
    </xf>
    <xf borderId="2" fillId="2" fontId="3" numFmtId="0" xfId="0" applyAlignment="1" applyBorder="1" applyFont="1">
      <alignment horizontal="center" shrinkToFit="0" vertical="bottom" wrapText="1"/>
    </xf>
    <xf borderId="0" fillId="0" fontId="4" numFmtId="2" xfId="0" applyAlignment="1" applyFont="1" applyNumberFormat="1">
      <alignment horizontal="right" vertical="bottom"/>
    </xf>
    <xf borderId="0" fillId="0" fontId="4" numFmtId="0" xfId="0" applyAlignment="1" applyFont="1">
      <alignment readingOrder="0" vertical="bottom"/>
    </xf>
    <xf borderId="0" fillId="0" fontId="2" numFmtId="2" xfId="0" applyFont="1" applyNumberFormat="1"/>
    <xf borderId="0" fillId="0" fontId="4" numFmtId="0" xfId="0" applyAlignment="1" applyFont="1">
      <alignment readingOrder="0" shrinkToFit="0" vertical="bottom" wrapText="1"/>
    </xf>
    <xf borderId="0" fillId="0" fontId="2" numFmtId="164" xfId="0" applyFont="1" applyNumberFormat="1"/>
    <xf borderId="0" fillId="0" fontId="4" numFmtId="164" xfId="0" applyAlignment="1" applyFont="1" applyNumberFormat="1">
      <alignment horizontal="right" vertical="bottom"/>
    </xf>
    <xf borderId="0" fillId="0" fontId="2" numFmtId="3" xfId="0" applyFont="1" applyNumberFormat="1"/>
    <xf borderId="3" fillId="0" fontId="4" numFmtId="0" xfId="0" applyAlignment="1" applyBorder="1" applyFont="1">
      <alignment vertical="bottom"/>
    </xf>
    <xf borderId="3" fillId="0" fontId="4" numFmtId="1" xfId="0" applyAlignment="1" applyBorder="1" applyFont="1" applyNumberFormat="1">
      <alignment horizontal="right" vertical="bottom"/>
    </xf>
    <xf borderId="0" fillId="5" fontId="4" numFmtId="0" xfId="0" applyAlignment="1" applyFill="1" applyFont="1">
      <alignment vertical="bottom"/>
    </xf>
    <xf borderId="0" fillId="6" fontId="4" numFmtId="1" xfId="0" applyAlignment="1" applyFill="1" applyFont="1" applyNumberFormat="1">
      <alignment horizontal="right" readingOrder="0" vertical="bottom"/>
    </xf>
    <xf borderId="0" fillId="0" fontId="4" numFmtId="1" xfId="0" applyAlignment="1" applyFont="1" applyNumberFormat="1">
      <alignment readingOrder="0" vertical="bottom"/>
    </xf>
    <xf borderId="0" fillId="5" fontId="14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5.xml"/><Relationship Id="rId3" Type="http://schemas.openxmlformats.org/officeDocument/2006/relationships/vmlDrawing" Target="../drawings/vmlDrawing1.v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7.xml"/><Relationship Id="rId3" Type="http://schemas.openxmlformats.org/officeDocument/2006/relationships/vmlDrawing" Target="../drawings/vmlDrawing2.v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20.xml"/><Relationship Id="rId3" Type="http://schemas.openxmlformats.org/officeDocument/2006/relationships/vmlDrawing" Target="../drawings/vmlDrawing3.v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23.xml"/><Relationship Id="rId3" Type="http://schemas.openxmlformats.org/officeDocument/2006/relationships/vmlDrawing" Target="../drawings/vmlDrawing4.v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24.xml"/><Relationship Id="rId3" Type="http://schemas.openxmlformats.org/officeDocument/2006/relationships/vmlDrawing" Target="../drawings/vmlDrawing5.v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25.xml"/><Relationship Id="rId3" Type="http://schemas.openxmlformats.org/officeDocument/2006/relationships/vmlDrawing" Target="../drawings/vmlDrawing6.v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6.5"/>
    <col customWidth="1" min="3" max="3" width="15.88"/>
    <col customWidth="1" min="4" max="8" width="14.5"/>
    <col customWidth="1" min="10" max="11" width="15.13"/>
  </cols>
  <sheetData>
    <row r="1">
      <c r="A1" s="1" t="s">
        <v>0</v>
      </c>
      <c r="B1" s="1" t="s">
        <v>1</v>
      </c>
      <c r="C1" s="1"/>
      <c r="D1" s="1"/>
      <c r="E1" s="1"/>
      <c r="F1" s="1"/>
      <c r="G1" s="2"/>
      <c r="H1" s="2"/>
      <c r="I1" s="2"/>
      <c r="J1" s="1"/>
      <c r="K1" s="1"/>
      <c r="L1" s="1"/>
      <c r="M1" s="3"/>
      <c r="N1" s="3"/>
      <c r="O1" s="3"/>
    </row>
    <row r="2">
      <c r="A2" s="4" t="s">
        <v>2</v>
      </c>
      <c r="B2" s="5">
        <f>IFERROR(__xludf.DUMMYFUNCTION("IMPORTRANGE(""https://docs.google.com/spreadsheets/d/1zA5LDh046PMNVU8ONXHA9gKBkE8m_N5laGAT0t2JyUg/edit?usp=sharing"",""Perf_globales!G3"")"),71666.66666666667)</f>
        <v>71666.66667</v>
      </c>
      <c r="F2" s="4"/>
      <c r="H2" s="6"/>
      <c r="I2" s="6"/>
      <c r="N2" s="6"/>
      <c r="O2" s="6"/>
    </row>
    <row r="3">
      <c r="A3" s="4" t="s">
        <v>3</v>
      </c>
      <c r="B3" s="5">
        <f>IFERROR(__xludf.DUMMYFUNCTION("IMPORTRANGE(""https://docs.google.com/spreadsheets/d/1zA5LDh046PMNVU8ONXHA9gKBkE8m_N5laGAT0t2JyUg/edit?usp=sharing"",""Perf_globales!J3"")"),290133.3299999999)</f>
        <v>290133.33</v>
      </c>
      <c r="D3" s="4"/>
      <c r="F3" s="4"/>
    </row>
    <row r="4">
      <c r="A4" s="4" t="s">
        <v>4</v>
      </c>
      <c r="B4" s="5">
        <f>IFERROR(__xludf.DUMMYFUNCTION("IMPORTRANGE(""https://docs.google.com/spreadsheets/d/1zA5LDh046PMNVU8ONXHA9gKBkE8m_N5laGAT0t2JyUg/edit?usp=sharing"",""Perf_globales!D13"")"),10202.82)</f>
        <v>10202.82</v>
      </c>
      <c r="D4" s="4"/>
      <c r="F4" s="4"/>
    </row>
    <row r="5">
      <c r="B5" s="5"/>
      <c r="C5" s="4"/>
      <c r="D5" s="4"/>
      <c r="E5" s="4"/>
    </row>
    <row r="6">
      <c r="C6" s="7"/>
    </row>
    <row r="15">
      <c r="B15" s="4"/>
      <c r="C15" s="4"/>
      <c r="D15" s="4"/>
      <c r="E15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6.5"/>
    <col customWidth="1" min="3" max="3" width="15.88"/>
    <col customWidth="1" min="4" max="8" width="14.5"/>
    <col customWidth="1" min="10" max="11" width="15.13"/>
  </cols>
  <sheetData>
    <row r="1">
      <c r="A1" s="1" t="s">
        <v>5</v>
      </c>
      <c r="B1" s="1" t="s">
        <v>1</v>
      </c>
      <c r="C1" s="1"/>
      <c r="D1" s="1"/>
      <c r="E1" s="1"/>
      <c r="F1" s="1"/>
      <c r="G1" s="2"/>
      <c r="H1" s="2"/>
      <c r="I1" s="2"/>
      <c r="J1" s="1"/>
      <c r="K1" s="1"/>
      <c r="L1" s="1"/>
      <c r="M1" s="3"/>
      <c r="N1" s="3"/>
      <c r="O1" s="3"/>
    </row>
    <row r="2">
      <c r="A2" s="4" t="s">
        <v>3</v>
      </c>
      <c r="B2" s="5">
        <f>IFERROR(__xludf.DUMMYFUNCTION("IMPORTRANGE(""https://docs.google.com/spreadsheets/d/1zA5LDh046PMNVU8ONXHA9gKBkE8m_N5laGAT0t2JyUg/edit?usp=sharing"",""Perf_globales!J3"")"),290133.3299999999)</f>
        <v>290133.33</v>
      </c>
      <c r="D2" s="4"/>
      <c r="F2" s="4"/>
    </row>
    <row r="3">
      <c r="A3" s="4" t="s">
        <v>4</v>
      </c>
      <c r="B3" s="5">
        <f>IFERROR(__xludf.DUMMYFUNCTION("IMPORTRANGE(""https://docs.google.com/spreadsheets/d/1zA5LDh046PMNVU8ONXHA9gKBkE8m_N5laGAT0t2JyUg/edit?usp=sharing"",""Perf_globales!D13"")"),10202.82)</f>
        <v>10202.82</v>
      </c>
      <c r="D3" s="4"/>
      <c r="F3" s="4"/>
    </row>
    <row r="4">
      <c r="A4" s="4" t="s">
        <v>6</v>
      </c>
      <c r="B4" s="5">
        <f>IFERROR(__xludf.DUMMYFUNCTION("IMPORTRANGE(""https://docs.google.com/spreadsheets/d/1zA5LDh046PMNVU8ONXHA9gKBkE8m_N5laGAT0t2JyUg/edit?usp=sharing"",""Perf_globales!M3"")"),41458.333333333336)</f>
        <v>41458.33333</v>
      </c>
      <c r="D4" s="4"/>
      <c r="F4" s="4"/>
    </row>
    <row r="5">
      <c r="B5" s="5"/>
      <c r="C5" s="4"/>
      <c r="D5" s="4"/>
      <c r="E5" s="4"/>
    </row>
    <row r="15">
      <c r="B15" s="4"/>
      <c r="C15" s="4"/>
      <c r="D15" s="4"/>
      <c r="E15" s="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7</v>
      </c>
      <c r="B1" s="9" t="s">
        <v>8</v>
      </c>
      <c r="C1" s="9" t="s">
        <v>9</v>
      </c>
      <c r="D1" s="9" t="s">
        <v>10</v>
      </c>
      <c r="E1" s="9" t="s">
        <v>11</v>
      </c>
      <c r="F1" s="10"/>
      <c r="G1" s="10"/>
      <c r="H1" s="11"/>
      <c r="I1" s="11"/>
      <c r="J1" s="11"/>
      <c r="K1" s="11"/>
      <c r="L1" s="11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12" t="s">
        <v>12</v>
      </c>
      <c r="B2" s="13">
        <f>IFERROR(__xludf.DUMMYFUNCTION("IMPORTRANGE(""https://docs.google.com/spreadsheets/d/1zA5LDh046PMNVU8ONXHA9gKBkE8m_N5laGAT0t2JyUg/edit?usp=sharing"",""Perf_mois!C2"")"),16666.666666666668)</f>
        <v>16666.66667</v>
      </c>
      <c r="C2" s="13">
        <v>0.0</v>
      </c>
      <c r="D2" s="14">
        <f>IFERROR(__xludf.DUMMYFUNCTION("IMPORTRANGE(""https://docs.google.com/spreadsheets/d/1zA5LDh046PMNVU8ONXHA9gKBkE8m_N5laGAT0t2JyUg/edit?usp=sharing"",""Perf_mois!B2"")"),2.0)</f>
        <v>2</v>
      </c>
      <c r="E2" s="15">
        <v>0.0</v>
      </c>
      <c r="F2" s="10"/>
      <c r="G2" s="16"/>
      <c r="H2" s="12"/>
      <c r="I2" s="11"/>
      <c r="J2" s="11"/>
      <c r="K2" s="11"/>
      <c r="L2" s="11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12" t="s">
        <v>13</v>
      </c>
      <c r="B3" s="13">
        <f>IFERROR(__xludf.DUMMYFUNCTION("IMPORTRANGE(""https://docs.google.com/spreadsheets/d/1zA5LDh046PMNVU8ONXHA9gKBkE8m_N5laGAT0t2JyUg/edit?usp=sharing"",""Perf_mois!C3"")"),29166.666666666668)</f>
        <v>29166.66667</v>
      </c>
      <c r="C3" s="13">
        <v>0.0</v>
      </c>
      <c r="D3" s="14">
        <f>IFERROR(__xludf.DUMMYFUNCTION("IMPORTRANGE(""https://docs.google.com/spreadsheets/d/1zA5LDh046PMNVU8ONXHA9gKBkE8m_N5laGAT0t2JyUg/edit?usp=sharing"",""Perf_mois!B3"")"),4.0)</f>
        <v>4</v>
      </c>
      <c r="E3" s="11">
        <v>0.0</v>
      </c>
      <c r="F3" s="10"/>
      <c r="G3" s="10"/>
      <c r="H3" s="12"/>
      <c r="I3" s="11"/>
      <c r="J3" s="11"/>
      <c r="K3" s="11"/>
      <c r="L3" s="11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12" t="s">
        <v>14</v>
      </c>
      <c r="B4" s="13">
        <f>IFERROR(__xludf.DUMMYFUNCTION("IMPORTRANGE(""https://docs.google.com/spreadsheets/d/1zA5LDh046PMNVU8ONXHA9gKBkE8m_N5laGAT0t2JyUg/edit?usp=sharing"",""Perf_mois!C4"")"),28749.99666666667)</f>
        <v>28749.99667</v>
      </c>
      <c r="C4" s="13">
        <v>19375.0</v>
      </c>
      <c r="D4" s="14">
        <f>IFERROR(__xludf.DUMMYFUNCTION("IMPORTRANGE(""https://docs.google.com/spreadsheets/d/1zA5LDh046PMNVU8ONXHA9gKBkE8m_N5laGAT0t2JyUg/edit?usp=sharing"",""Perf_mois!B4"")"),6.0)</f>
        <v>6</v>
      </c>
      <c r="E4" s="11">
        <v>3.0</v>
      </c>
      <c r="F4" s="10"/>
      <c r="G4" s="10"/>
      <c r="H4" s="12"/>
      <c r="I4" s="11"/>
      <c r="J4" s="11"/>
      <c r="K4" s="11"/>
      <c r="L4" s="11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12" t="s">
        <v>15</v>
      </c>
      <c r="B5" s="13">
        <f>IFERROR(__xludf.DUMMYFUNCTION("IMPORTRANGE(""https://docs.google.com/spreadsheets/d/1zA5LDh046PMNVU8ONXHA9gKBkE8m_N5laGAT0t2JyUg/edit?usp=sharing"",""Perf_mois!C5"")"),22383.333333333336)</f>
        <v>22383.33333</v>
      </c>
      <c r="C5" s="13">
        <v>0.0</v>
      </c>
      <c r="D5" s="14">
        <f>IFERROR(__xludf.DUMMYFUNCTION("IMPORTRANGE(""https://docs.google.com/spreadsheets/d/1zA5LDh046PMNVU8ONXHA9gKBkE8m_N5laGAT0t2JyUg/edit?usp=sharing"",""Perf_mois!B5"")"),3.0)</f>
        <v>3</v>
      </c>
      <c r="E5" s="11">
        <v>0.0</v>
      </c>
      <c r="F5" s="10"/>
      <c r="G5" s="10"/>
      <c r="H5" s="12"/>
      <c r="I5" s="11"/>
      <c r="J5" s="11"/>
      <c r="K5" s="11"/>
      <c r="L5" s="11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12" t="s">
        <v>16</v>
      </c>
      <c r="B6" s="13">
        <f>IFERROR(__xludf.DUMMYFUNCTION("IMPORTRANGE(""https://docs.google.com/spreadsheets/d/1zA5LDh046PMNVU8ONXHA9gKBkE8m_N5laGAT0t2JyUg/edit?usp=sharing"",""Perf_mois!C6"")"),12500.0)</f>
        <v>12500</v>
      </c>
      <c r="C6" s="13">
        <v>15833.33</v>
      </c>
      <c r="D6" s="14">
        <f>IFERROR(__xludf.DUMMYFUNCTION("IMPORTRANGE(""https://docs.google.com/spreadsheets/d/1zA5LDh046PMNVU8ONXHA9gKBkE8m_N5laGAT0t2JyUg/edit?usp=sharing"",""Perf_mois!B6"")"),2.0)</f>
        <v>2</v>
      </c>
      <c r="E6" s="11">
        <v>2.0</v>
      </c>
      <c r="F6" s="10"/>
      <c r="G6" s="10"/>
      <c r="H6" s="12"/>
      <c r="I6" s="11"/>
      <c r="J6" s="11"/>
      <c r="K6" s="11"/>
      <c r="L6" s="11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12" t="s">
        <v>17</v>
      </c>
      <c r="B7" s="13">
        <f>IFERROR(__xludf.DUMMYFUNCTION("IMPORTRANGE(""https://docs.google.com/spreadsheets/d/1zA5LDh046PMNVU8ONXHA9gKBkE8m_N5laGAT0t2JyUg/edit?usp=sharing"",""Perf_mois!C7"")"),37500.00000000001)</f>
        <v>37500</v>
      </c>
      <c r="C7" s="13">
        <v>15000.0</v>
      </c>
      <c r="D7" s="14">
        <f>IFERROR(__xludf.DUMMYFUNCTION("IMPORTRANGE(""https://docs.google.com/spreadsheets/d/1zA5LDh046PMNVU8ONXHA9gKBkE8m_N5laGAT0t2JyUg/edit?usp=sharing"",""Perf_mois!B7"")"),5.0)</f>
        <v>5</v>
      </c>
      <c r="E7" s="11">
        <v>2.0</v>
      </c>
      <c r="F7" s="10"/>
      <c r="G7" s="10"/>
      <c r="H7" s="12"/>
      <c r="I7" s="11"/>
      <c r="J7" s="11"/>
      <c r="K7" s="11"/>
      <c r="L7" s="11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12" t="s">
        <v>18</v>
      </c>
      <c r="B8" s="13">
        <f>IFERROR(__xludf.DUMMYFUNCTION("IMPORTRANGE(""https://docs.google.com/spreadsheets/d/1zA5LDh046PMNVU8ONXHA9gKBkE8m_N5laGAT0t2JyUg/edit?usp=sharing"",""Perf_mois!C8"")"),84000.0)</f>
        <v>84000</v>
      </c>
      <c r="C8" s="13">
        <v>30833.33</v>
      </c>
      <c r="D8" s="14">
        <f>IFERROR(__xludf.DUMMYFUNCTION("IMPORTRANGE(""https://docs.google.com/spreadsheets/d/1zA5LDh046PMNVU8ONXHA9gKBkE8m_N5laGAT0t2JyUg/edit?usp=sharing"",""Perf_mois!B8"")"),7.0)</f>
        <v>7</v>
      </c>
      <c r="E8" s="11">
        <v>4.0</v>
      </c>
      <c r="F8" s="10"/>
      <c r="G8" s="10"/>
      <c r="H8" s="12"/>
      <c r="I8" s="11"/>
      <c r="J8" s="11"/>
      <c r="K8" s="11"/>
      <c r="L8" s="11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12" t="s">
        <v>19</v>
      </c>
      <c r="B9" s="13">
        <f>IFERROR(__xludf.DUMMYFUNCTION("IMPORTRANGE(""https://docs.google.com/spreadsheets/d/1zA5LDh046PMNVU8ONXHA9gKBkE8m_N5laGAT0t2JyUg/edit?usp=sharing"",""Perf_mois!C9"")"),33333.333333333336)</f>
        <v>33333.33333</v>
      </c>
      <c r="C9" s="13">
        <v>29854.17</v>
      </c>
      <c r="D9" s="14">
        <f>IFERROR(__xludf.DUMMYFUNCTION("IMPORTRANGE(""https://docs.google.com/spreadsheets/d/1zA5LDh046PMNVU8ONXHA9gKBkE8m_N5laGAT0t2JyUg/edit?usp=sharing"",""Perf_mois!B9"")"),4.0)</f>
        <v>4</v>
      </c>
      <c r="E9" s="11">
        <v>3.0</v>
      </c>
      <c r="F9" s="10"/>
      <c r="G9" s="10"/>
      <c r="H9" s="12"/>
      <c r="I9" s="11"/>
      <c r="J9" s="11"/>
      <c r="K9" s="11"/>
      <c r="L9" s="11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12" t="s">
        <v>20</v>
      </c>
      <c r="B10" s="13">
        <f>IFERROR(__xludf.DUMMYFUNCTION("IMPORTRANGE(""https://docs.google.com/spreadsheets/d/1zA5LDh046PMNVU8ONXHA9gKBkE8m_N5laGAT0t2JyUg/edit?usp=sharing"",""Perf_mois!C10"")"),16666.666666666668)</f>
        <v>16666.66667</v>
      </c>
      <c r="C10" s="13">
        <v>42083.33</v>
      </c>
      <c r="D10" s="14">
        <f>IFERROR(__xludf.DUMMYFUNCTION("IMPORTRANGE(""https://docs.google.com/spreadsheets/d/1zA5LDh046PMNVU8ONXHA9gKBkE8m_N5laGAT0t2JyUg/edit?usp=sharing"",""Perf_mois!B10"")"),2.0)</f>
        <v>2</v>
      </c>
      <c r="E10" s="11">
        <v>7.0</v>
      </c>
      <c r="F10" s="10"/>
      <c r="G10" s="10"/>
      <c r="H10" s="12"/>
      <c r="I10" s="11"/>
      <c r="J10" s="11"/>
      <c r="K10" s="11"/>
      <c r="L10" s="11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12" t="s">
        <v>21</v>
      </c>
      <c r="B11" s="13">
        <f>IFERROR(__xludf.DUMMYFUNCTION("IMPORTRANGE(""https://docs.google.com/spreadsheets/d/1zA5LDh046PMNVU8ONXHA9gKBkE8m_N5laGAT0t2JyUg/edit?usp=sharing"",""Perf_mois!C11"")"),35833.33333333334)</f>
        <v>35833.33333</v>
      </c>
      <c r="C11" s="13">
        <v>28666.67</v>
      </c>
      <c r="D11" s="14">
        <f>IFERROR(__xludf.DUMMYFUNCTION("IMPORTRANGE(""https://docs.google.com/spreadsheets/d/1zA5LDh046PMNVU8ONXHA9gKBkE8m_N5laGAT0t2JyUg/edit?usp=sharing"",""Perf_mois!B11"")"),5.0)</f>
        <v>5</v>
      </c>
      <c r="E11" s="11">
        <v>4.0</v>
      </c>
      <c r="F11" s="10"/>
      <c r="G11" s="10"/>
      <c r="H11" s="12"/>
      <c r="I11" s="11"/>
      <c r="J11" s="11"/>
      <c r="K11" s="11"/>
      <c r="L11" s="11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12" t="s">
        <v>22</v>
      </c>
      <c r="B12" s="13">
        <f>IFERROR(__xludf.DUMMYFUNCTION("IMPORTRANGE(""https://docs.google.com/spreadsheets/d/1zA5LDh046PMNVU8ONXHA9gKBkE8m_N5laGAT0t2JyUg/edit?usp=sharing"",""Perf_mois!C12"")"),15000.0)</f>
        <v>15000</v>
      </c>
      <c r="C12" s="13">
        <v>21666.67</v>
      </c>
      <c r="D12" s="14">
        <f>IFERROR(__xludf.DUMMYFUNCTION("IMPORTRANGE(""https://docs.google.com/spreadsheets/d/1zA5LDh046PMNVU8ONXHA9gKBkE8m_N5laGAT0t2JyUg/edit?usp=sharing"",""Perf_mois!B12"")"),2.0)</f>
        <v>2</v>
      </c>
      <c r="E12" s="11">
        <v>3.0</v>
      </c>
      <c r="F12" s="10"/>
      <c r="G12" s="10"/>
      <c r="H12" s="12"/>
      <c r="I12" s="11"/>
      <c r="J12" s="11"/>
      <c r="K12" s="11"/>
      <c r="L12" s="11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12" t="s">
        <v>23</v>
      </c>
      <c r="B13" s="13">
        <f>IFERROR(__xludf.DUMMYFUNCTION("IMPORTRANGE(""https://docs.google.com/spreadsheets/d/1zA5LDh046PMNVU8ONXHA9gKBkE8m_N5laGAT0t2JyUg/edit?usp=sharing"",""Perf_mois!C13"")"),30000.000000000004)</f>
        <v>30000</v>
      </c>
      <c r="C13" s="13">
        <v>66666.67</v>
      </c>
      <c r="D13" s="14">
        <f>IFERROR(__xludf.DUMMYFUNCTION("IMPORTRANGE(""https://docs.google.com/spreadsheets/d/1zA5LDh046PMNVU8ONXHA9gKBkE8m_N5laGAT0t2JyUg/edit?usp=sharing"",""Perf_mois!B13"")"),4.0)</f>
        <v>4</v>
      </c>
      <c r="E13" s="11">
        <v>9.0</v>
      </c>
      <c r="F13" s="10"/>
      <c r="G13" s="10"/>
      <c r="H13" s="12"/>
      <c r="I13" s="11"/>
      <c r="J13" s="11"/>
      <c r="K13" s="11"/>
      <c r="L13" s="11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12"/>
      <c r="B14" s="17"/>
      <c r="C14" s="18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19"/>
      <c r="B17" s="2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19"/>
      <c r="B18" s="2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24</v>
      </c>
      <c r="B1" s="9" t="s">
        <v>25</v>
      </c>
      <c r="C1" s="9" t="s">
        <v>26</v>
      </c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21">
        <v>2020.0</v>
      </c>
      <c r="B2" s="13">
        <f>IFERROR(__xludf.DUMMYFUNCTION("IMPORTRANGE(""https://docs.google.com/spreadsheets/d/15-T8p6Spj94rgjtigS4K1Txxrtq2lA5cZX9vdvUiAsQ/edit?usp=sharing"",""Evolution_CA!B2"")"),303168.0)</f>
        <v>303168</v>
      </c>
      <c r="C2" s="22">
        <f>IFERROR(__xludf.DUMMYFUNCTION("IMPORTRANGE(""https://docs.google.com/spreadsheets/d/15-T8p6Spj94rgjtigS4K1Txxrtq2lA5cZX9vdvUiAsQ/edit?usp=sharing"",""Evolution_CA!C2"")"),39.0)</f>
        <v>39</v>
      </c>
      <c r="D2" s="10"/>
      <c r="E2" s="10"/>
      <c r="F2" s="10"/>
      <c r="G2" s="16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21">
        <v>2021.0</v>
      </c>
      <c r="B3" s="13">
        <f>IFERROR(__xludf.DUMMYFUNCTION("IMPORTRANGE(""https://docs.google.com/spreadsheets/d/15-T8p6Spj94rgjtigS4K1Txxrtq2lA5cZX9vdvUiAsQ/edit?usp=sharing"",""Evolution_CA!B3"")"),352327.0)</f>
        <v>352327</v>
      </c>
      <c r="C3" s="13">
        <f>IFERROR(__xludf.DUMMYFUNCTION("IMPORTRANGE(""https://docs.google.com/spreadsheets/d/15-T8p6Spj94rgjtigS4K1Txxrtq2lA5cZX9vdvUiAsQ/edit?usp=sharing"",""Evolution_CA!C3"")"),46.0)</f>
        <v>46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21">
        <v>2022.0</v>
      </c>
      <c r="B4" s="13">
        <f>IFERROR(__xludf.DUMMYFUNCTION("IMPORTRANGE(""https://docs.google.com/spreadsheets/d/15-T8p6Spj94rgjtigS4K1Txxrtq2lA5cZX9vdvUiAsQ/edit?usp=sharing"",""Evolution_CA!B4"")"),277368.0)</f>
        <v>277368</v>
      </c>
      <c r="C4" s="13">
        <f>IFERROR(__xludf.DUMMYFUNCTION("IMPORTRANGE(""https://docs.google.com/spreadsheets/d/15-T8p6Spj94rgjtigS4K1Txxrtq2lA5cZX9vdvUiAsQ/edit?usp=sharing"",""Evolution_CA!C4"")"),37.0)</f>
        <v>37</v>
      </c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21">
        <v>2023.0</v>
      </c>
      <c r="B5" s="13">
        <f>IFERROR(__xludf.DUMMYFUNCTION("IMPORTRANGE(""https://docs.google.com/spreadsheets/d/15-T8p6Spj94rgjtigS4K1Txxrtq2lA5cZX9vdvUiAsQ/edit?usp=sharing"",""Evolution_CA!B5"")"),376353.0)</f>
        <v>376353</v>
      </c>
      <c r="C5" s="13">
        <f>IFERROR(__xludf.DUMMYFUNCTION("IMPORTRANGE(""https://docs.google.com/spreadsheets/d/15-T8p6Spj94rgjtigS4K1Txxrtq2lA5cZX9vdvUiAsQ/edit?usp=sharing"",""Evolution_CA!C5"")"),46.0)</f>
        <v>46</v>
      </c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23"/>
      <c r="B6" s="13"/>
      <c r="C6" s="13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12"/>
      <c r="B7" s="13"/>
      <c r="C7" s="13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12"/>
      <c r="B8" s="13"/>
      <c r="C8" s="13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12"/>
      <c r="B9" s="13"/>
      <c r="C9" s="13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12"/>
      <c r="B10" s="13"/>
      <c r="C10" s="13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12"/>
      <c r="B11" s="13"/>
      <c r="C11" s="13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12"/>
      <c r="B12" s="13"/>
      <c r="C12" s="13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12"/>
      <c r="B13" s="13"/>
      <c r="C13" s="13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12"/>
      <c r="B14" s="17"/>
      <c r="C14" s="18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19"/>
      <c r="B17" s="2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19"/>
      <c r="B18" s="2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24</v>
      </c>
      <c r="B1" s="9" t="s">
        <v>25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21" t="s">
        <v>27</v>
      </c>
      <c r="B2" s="5">
        <f>IFERROR(__xludf.DUMMYFUNCTION("IMPORTRANGE(""https://docs.google.com/spreadsheets/d/1zA5LDh046PMNVU8ONXHA9gKBkE8m_N5laGAT0t2JyUg/edit?usp=sharing"",""Perf_mois!E15"")"),273208.33)</f>
        <v>273208.33</v>
      </c>
      <c r="D2" s="10"/>
      <c r="E2" s="10"/>
      <c r="F2" s="10"/>
      <c r="G2" s="16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21" t="s">
        <v>28</v>
      </c>
      <c r="B3" s="6">
        <f>IFERROR(__xludf.DUMMYFUNCTION("IMPORTRANGE(""https://docs.google.com/spreadsheets/d/1zA5LDh046PMNVU8ONXHA9gKBkE8m_N5laGAT0t2JyUg/edit?usp=sharing"",""Perf_mois!D15"")"),88591.66666666666)</f>
        <v>88591.66667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21"/>
      <c r="B4" s="13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21"/>
      <c r="B5" s="13"/>
      <c r="C5" s="13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23"/>
      <c r="B6" s="13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12"/>
      <c r="B7" s="13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12"/>
      <c r="B8" s="13"/>
      <c r="C8" s="13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12"/>
      <c r="B9" s="13"/>
      <c r="C9" s="13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12"/>
      <c r="B10" s="13"/>
      <c r="C10" s="13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12"/>
      <c r="B11" s="13"/>
      <c r="C11" s="13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12"/>
      <c r="B12" s="13"/>
      <c r="C12" s="13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12"/>
      <c r="B13" s="13"/>
      <c r="C13" s="13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12"/>
      <c r="B14" s="17"/>
      <c r="C14" s="18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19"/>
      <c r="B17" s="2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19"/>
      <c r="B18" s="2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29</v>
      </c>
      <c r="B1" s="9" t="s">
        <v>30</v>
      </c>
      <c r="C1" s="9" t="s">
        <v>31</v>
      </c>
      <c r="D1" s="24" t="s">
        <v>32</v>
      </c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25" t="s">
        <v>33</v>
      </c>
      <c r="B2" s="5">
        <f>IFERROR(__xludf.DUMMYFUNCTION("IMPORTRANGE(""https://docs.google.com/spreadsheets/d/1zA5LDh046PMNVU8ONXHA9gKBkE8m_N5laGAT0t2JyUg/edit?usp=sharing"",""Sources_ventes!B2"")"),25.0)</f>
        <v>25</v>
      </c>
      <c r="C2" s="5">
        <f>IFERROR(__xludf.DUMMYFUNCTION("IMPORTRANGE(""https://docs.google.com/spreadsheets/d/1zA5LDh046PMNVU8ONXHA9gKBkE8m_N5laGAT0t2JyUg/edit?usp=sharing"",""Sources_ventes!C2"")"),205416.66333333333)</f>
        <v>205416.6633</v>
      </c>
      <c r="D2" s="26">
        <f>IFERROR(__xludf.DUMMYFUNCTION("IMPORTRANGE(""https://docs.google.com/spreadsheets/d/1zA5LDh046PMNVU8ONXHA9gKBkE8m_N5laGAT0t2JyUg/edit?usp=sharing"",""Sources_ventes!D2"")"),56.77630326862265)</f>
        <v>56.77630327</v>
      </c>
      <c r="E2" s="10"/>
      <c r="F2" s="10"/>
      <c r="G2" s="16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27" t="s">
        <v>34</v>
      </c>
      <c r="B3" s="5">
        <f>IFERROR(__xludf.DUMMYFUNCTION("IMPORTRANGE(""https://docs.google.com/spreadsheets/d/1zA5LDh046PMNVU8ONXHA9gKBkE8m_N5laGAT0t2JyUg/edit?usp=sharing"",""Sources_ventes!B3"")"),6.0)</f>
        <v>6</v>
      </c>
      <c r="C3" s="5">
        <f>IFERROR(__xludf.DUMMYFUNCTION("IMPORTRANGE(""https://docs.google.com/spreadsheets/d/1zA5LDh046PMNVU8ONXHA9gKBkE8m_N5laGAT0t2JyUg/edit?usp=sharing"",""Sources_ventes!C3"")"),40833.333333333336)</f>
        <v>40833.33333</v>
      </c>
      <c r="D3" s="26">
        <f>IFERROR(__xludf.DUMMYFUNCTION("IMPORTRANGE(""https://docs.google.com/spreadsheets/d/1zA5LDh046PMNVU8ONXHA9gKBkE8m_N5laGAT0t2JyUg/edit?usp=sharing"",""Sources_ventes!D3"")"),11.286161887655812)</f>
        <v>11.28616189</v>
      </c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28" t="s">
        <v>35</v>
      </c>
      <c r="B4" s="5">
        <f>IFERROR(__xludf.DUMMYFUNCTION("IMPORTRANGE(""https://docs.google.com/spreadsheets/d/1zA5LDh046PMNVU8ONXHA9gKBkE8m_N5laGAT0t2JyUg/edit?usp=sharing"",""Sources_ventes!B4"")"),3.0)</f>
        <v>3</v>
      </c>
      <c r="C4" s="5">
        <f>IFERROR(__xludf.DUMMYFUNCTION("IMPORTRANGE(""https://docs.google.com/spreadsheets/d/1zA5LDh046PMNVU8ONXHA9gKBkE8m_N5laGAT0t2JyUg/edit?usp=sharing"",""Sources_ventes!C4"")"),23333.333333333336)</f>
        <v>23333.33333</v>
      </c>
      <c r="D4" s="26">
        <f>IFERROR(__xludf.DUMMYFUNCTION("IMPORTRANGE(""https://docs.google.com/spreadsheets/d/1zA5LDh046PMNVU8ONXHA9gKBkE8m_N5laGAT0t2JyUg/edit?usp=sharing"",""Sources_ventes!D4"")"),6.44923536437475)</f>
        <v>6.449235364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28" t="s">
        <v>36</v>
      </c>
      <c r="B5" s="5">
        <f>IFERROR(__xludf.DUMMYFUNCTION("IMPORTRANGE(""https://docs.google.com/spreadsheets/d/1zA5LDh046PMNVU8ONXHA9gKBkE8m_N5laGAT0t2JyUg/edit?usp=sharing"",""Sources_ventes!B5"")"),12.0)</f>
        <v>12</v>
      </c>
      <c r="C5" s="5">
        <f>IFERROR(__xludf.DUMMYFUNCTION("IMPORTRANGE(""https://docs.google.com/spreadsheets/d/1zA5LDh046PMNVU8ONXHA9gKBkE8m_N5laGAT0t2JyUg/edit?usp=sharing"",""Sources_ventes!C5"")"),92216.66666666669)</f>
        <v>92216.66667</v>
      </c>
      <c r="D5" s="26">
        <f>IFERROR(__xludf.DUMMYFUNCTION("IMPORTRANGE(""https://docs.google.com/spreadsheets/d/1zA5LDh046PMNVU8ONXHA9gKBkE8m_N5laGAT0t2JyUg/edit?usp=sharing"",""Sources_ventes!D5"")"),25.488299479346782)</f>
        <v>25.48829948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28" t="s">
        <v>33</v>
      </c>
      <c r="B6" s="13">
        <f>IFERROR(__xludf.DUMMYFUNCTION("IMPORTRANGE(""https://docs.google.com/spreadsheets/d/1zA5LDh046PMNVU8ONXHA9gKBkE8m_N5laGAT0t2JyUg/edit?usp=sharing"",""Sources_ventes!B9"")"),16.0)</f>
        <v>16</v>
      </c>
      <c r="C6" s="6">
        <f>IFERROR(__xludf.DUMMYFUNCTION("IMPORTRANGE(""https://docs.google.com/spreadsheets/d/1zA5LDh046PMNVU8ONXHA9gKBkE8m_N5laGAT0t2JyUg/edit?usp=sharing"",""Sources_ventes!C9"")"),136249.99666666667)</f>
        <v>136249.9967</v>
      </c>
      <c r="D6" s="26">
        <f t="shared" ref="D6:D18" si="1">C6/361800%</f>
        <v>37.65892666</v>
      </c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27" t="s">
        <v>37</v>
      </c>
      <c r="B7" s="13">
        <f>IFERROR(__xludf.DUMMYFUNCTION("IMPORTRANGE(""https://docs.google.com/spreadsheets/d/1zA5LDh046PMNVU8ONXHA9gKBkE8m_N5laGAT0t2JyUg/edit?usp=sharing"",""Sources_ventes!B10"")"),5.0)</f>
        <v>5</v>
      </c>
      <c r="C7" s="6">
        <f>IFERROR(__xludf.DUMMYFUNCTION("IMPORTRANGE(""https://docs.google.com/spreadsheets/d/1zA5LDh046PMNVU8ONXHA9gKBkE8m_N5laGAT0t2JyUg/edit?usp=sharing"",""Sources_ventes!C10"")"),37500.00000000001)</f>
        <v>37500</v>
      </c>
      <c r="D7" s="26">
        <f t="shared" si="1"/>
        <v>10.36484245</v>
      </c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28" t="s">
        <v>38</v>
      </c>
      <c r="B8" s="13">
        <f>IFERROR(__xludf.DUMMYFUNCTION("IMPORTRANGE(""https://docs.google.com/spreadsheets/d/1zA5LDh046PMNVU8ONXHA9gKBkE8m_N5laGAT0t2JyUg/edit?usp=sharing"",""Sources_ventes!B11"")"),3.0)</f>
        <v>3</v>
      </c>
      <c r="C8" s="6">
        <f>IFERROR(__xludf.DUMMYFUNCTION("IMPORTRANGE(""https://docs.google.com/spreadsheets/d/1zA5LDh046PMNVU8ONXHA9gKBkE8m_N5laGAT0t2JyUg/edit?usp=sharing"",""Sources_ventes!C11"")"),24166.666666666668)</f>
        <v>24166.66667</v>
      </c>
      <c r="D8" s="26">
        <f t="shared" si="1"/>
        <v>6.679565137</v>
      </c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28" t="s">
        <v>39</v>
      </c>
      <c r="B9" s="13">
        <f>IFERROR(__xludf.DUMMYFUNCTION("IMPORTRANGE(""https://docs.google.com/spreadsheets/d/1zA5LDh046PMNVU8ONXHA9gKBkE8m_N5laGAT0t2JyUg/edit?usp=sharing"",""Sources_ventes!B12"")"),1.0)</f>
        <v>1</v>
      </c>
      <c r="C9" s="13">
        <f>IFERROR(__xludf.DUMMYFUNCTION("IMPORTRANGE(""https://docs.google.com/spreadsheets/d/1zA5LDh046PMNVU8ONXHA9gKBkE8m_N5laGAT0t2JyUg/edit?usp=sharing"",""Sources_ventes!C12"")"),7500.0)</f>
        <v>7500</v>
      </c>
      <c r="D9" s="26">
        <f t="shared" si="1"/>
        <v>2.072968491</v>
      </c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28" t="s">
        <v>40</v>
      </c>
      <c r="B10" s="13">
        <f>IFERROR(__xludf.DUMMYFUNCTION("IMPORTRANGE(""https://docs.google.com/spreadsheets/d/1zA5LDh046PMNVU8ONXHA9gKBkE8m_N5laGAT0t2JyUg/edit?usp=sharing"",""Sources_ventes!B13"")"),0.0)</f>
        <v>0</v>
      </c>
      <c r="C10" s="13">
        <f>IFERROR(__xludf.DUMMYFUNCTION("IMPORTRANGE(""https://docs.google.com/spreadsheets/d/1zA5LDh046PMNVU8ONXHA9gKBkE8m_N5laGAT0t2JyUg/edit?usp=sharing"",""Sources_ventes!C13"")"),0.0)</f>
        <v>0</v>
      </c>
      <c r="D10" s="26">
        <f t="shared" si="1"/>
        <v>0</v>
      </c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28" t="s">
        <v>41</v>
      </c>
      <c r="B11" s="13">
        <f>IFERROR(__xludf.DUMMYFUNCTION("IMPORTRANGE(""https://docs.google.com/spreadsheets/d/1zA5LDh046PMNVU8ONXHA9gKBkE8m_N5laGAT0t2JyUg/edit?usp=sharing"",""Sources_ventes!B14"")"),3.0)</f>
        <v>3</v>
      </c>
      <c r="C11" s="13">
        <f>IFERROR(__xludf.DUMMYFUNCTION("IMPORTRANGE(""https://docs.google.com/spreadsheets/d/1zA5LDh046PMNVU8ONXHA9gKBkE8m_N5laGAT0t2JyUg/edit?usp=sharing"",""Sources_ventes!C14"")"),15833.333333333336)</f>
        <v>15833.33333</v>
      </c>
      <c r="D11" s="26">
        <f t="shared" si="1"/>
        <v>4.376266814</v>
      </c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28" t="s">
        <v>42</v>
      </c>
      <c r="B12" s="13">
        <f>IFERROR(__xludf.DUMMYFUNCTION("IMPORTRANGE(""https://docs.google.com/spreadsheets/d/1zA5LDh046PMNVU8ONXHA9gKBkE8m_N5laGAT0t2JyUg/edit?usp=sharing"",""Sources_ventes!B15"")"),2.0)</f>
        <v>2</v>
      </c>
      <c r="C12" s="13">
        <f>IFERROR(__xludf.DUMMYFUNCTION("IMPORTRANGE(""https://docs.google.com/spreadsheets/d/1zA5LDh046PMNVU8ONXHA9gKBkE8m_N5laGAT0t2JyUg/edit?usp=sharing"",""Sources_ventes!C15"")"),15000.0)</f>
        <v>15000</v>
      </c>
      <c r="D12" s="26">
        <f t="shared" si="1"/>
        <v>4.145936982</v>
      </c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28" t="s">
        <v>43</v>
      </c>
      <c r="B13" s="13">
        <f>IFERROR(__xludf.DUMMYFUNCTION("IMPORTRANGE(""https://docs.google.com/spreadsheets/d/1zA5LDh046PMNVU8ONXHA9gKBkE8m_N5laGAT0t2JyUg/edit?usp=sharing"",""Sources_ventes!B16"")"),1.0)</f>
        <v>1</v>
      </c>
      <c r="C13" s="13">
        <f>IFERROR(__xludf.DUMMYFUNCTION("IMPORTRANGE(""https://docs.google.com/spreadsheets/d/1zA5LDh046PMNVU8ONXHA9gKBkE8m_N5laGAT0t2JyUg/edit?usp=sharing"",""Sources_ventes!C16"")"),10000.0)</f>
        <v>10000</v>
      </c>
      <c r="D13" s="26">
        <f t="shared" si="1"/>
        <v>2.763957988</v>
      </c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28" t="s">
        <v>35</v>
      </c>
      <c r="B14" s="13">
        <f>IFERROR(__xludf.DUMMYFUNCTION("IMPORTRANGE(""https://docs.google.com/spreadsheets/d/1zA5LDh046PMNVU8ONXHA9gKBkE8m_N5laGAT0t2JyUg/edit?usp=sharing"",""Sources_ventes!B17"")"),3.0)</f>
        <v>3</v>
      </c>
      <c r="C14" s="13">
        <f>IFERROR(__xludf.DUMMYFUNCTION("IMPORTRANGE(""https://docs.google.com/spreadsheets/d/1zA5LDh046PMNVU8ONXHA9gKBkE8m_N5laGAT0t2JyUg/edit?usp=sharing"",""Sources_ventes!C17"")"),23333.333333333336)</f>
        <v>23333.33333</v>
      </c>
      <c r="D14" s="26">
        <f t="shared" si="1"/>
        <v>6.449235305</v>
      </c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28" t="s">
        <v>44</v>
      </c>
      <c r="B15" s="13">
        <f>IFERROR(__xludf.DUMMYFUNCTION("IMPORTRANGE(""https://docs.google.com/spreadsheets/d/1zA5LDh046PMNVU8ONXHA9gKBkE8m_N5laGAT0t2JyUg/edit?usp=sharing"",""Sources_ventes!B18"")"),1.0)</f>
        <v>1</v>
      </c>
      <c r="C15" s="29">
        <f>IFERROR(__xludf.DUMMYFUNCTION("IMPORTRANGE(""https://docs.google.com/spreadsheets/d/1zA5LDh046PMNVU8ONXHA9gKBkE8m_N5laGAT0t2JyUg/edit?usp=sharing"",""Sources_ventes!C18"")"),4000.0)</f>
        <v>4000</v>
      </c>
      <c r="D15" s="26">
        <f t="shared" si="1"/>
        <v>1.105583195</v>
      </c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28" t="s">
        <v>45</v>
      </c>
      <c r="B16" s="13">
        <f>IFERROR(__xludf.DUMMYFUNCTION("IMPORTRANGE(""https://docs.google.com/spreadsheets/d/1zA5LDh046PMNVU8ONXHA9gKBkE8m_N5laGAT0t2JyUg/edit?usp=sharing"",""Sources_ventes!B19"")"),5.0)</f>
        <v>5</v>
      </c>
      <c r="C16" s="6">
        <f>IFERROR(__xludf.DUMMYFUNCTION("IMPORTRANGE(""https://docs.google.com/spreadsheets/d/1zA5LDh046PMNVU8ONXHA9gKBkE8m_N5laGAT0t2JyUg/edit?usp=sharing"",""Sources_ventes!C19"")"),35716.66666666667)</f>
        <v>35716.66667</v>
      </c>
      <c r="D16" s="26">
        <f t="shared" si="1"/>
        <v>9.871936613</v>
      </c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28" t="s">
        <v>46</v>
      </c>
      <c r="B17" s="13">
        <f>IFERROR(__xludf.DUMMYFUNCTION("IMPORTRANGE(""https://docs.google.com/spreadsheets/d/1zA5LDh046PMNVU8ONXHA9gKBkE8m_N5laGAT0t2JyUg/edit?usp=sharing"",""Sources_ventes!B20"")"),1.0)</f>
        <v>1</v>
      </c>
      <c r="C17" s="14">
        <f>IFERROR(__xludf.DUMMYFUNCTION("IMPORTRANGE(""https://docs.google.com/spreadsheets/d/1zA5LDh046PMNVU8ONXHA9gKBkE8m_N5laGAT0t2JyUg/edit?usp=sharing"",""Sources_ventes!C20"")"),8333.333333333334)</f>
        <v>8333.333333</v>
      </c>
      <c r="D17" s="26">
        <f t="shared" si="1"/>
        <v>2.303298323</v>
      </c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28" t="s">
        <v>47</v>
      </c>
      <c r="B18" s="13">
        <f>IFERROR(__xludf.DUMMYFUNCTION("IMPORTRANGE(""https://docs.google.com/spreadsheets/d/1zA5LDh046PMNVU8ONXHA9gKBkE8m_N5laGAT0t2JyUg/edit?usp=sharing"",""Sources_ventes!B21"")"),5.0)</f>
        <v>5</v>
      </c>
      <c r="C18" s="14">
        <f>IFERROR(__xludf.DUMMYFUNCTION("IMPORTRANGE(""https://docs.google.com/spreadsheets/d/1zA5LDh046PMNVU8ONXHA9gKBkE8m_N5laGAT0t2JyUg/edit?usp=sharing"",""Sources_ventes!C21"")"),44166.66666666667)</f>
        <v>44166.66667</v>
      </c>
      <c r="D18" s="26">
        <f t="shared" si="1"/>
        <v>12.20748111</v>
      </c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19"/>
      <c r="B19" s="2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  <row r="1001">
      <c r="A1001" s="1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</v>
      </c>
      <c r="B1" s="1" t="s">
        <v>1</v>
      </c>
      <c r="C1" s="5"/>
      <c r="D1" s="5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4" t="s">
        <v>48</v>
      </c>
      <c r="B2" s="30">
        <f>IFERROR(__xludf.DUMMYFUNCTION("IMPORTRANGE(""https://docs.google.com/spreadsheets/d/1zA5LDh046PMNVU8ONXHA9gKBkE8m_N5laGAT0t2JyUg/edit?usp=sharing"",""Perf_globales!F3"")"),10.0)</f>
        <v>10</v>
      </c>
      <c r="C2" s="5"/>
      <c r="D2" s="26"/>
      <c r="E2" s="10"/>
      <c r="F2" s="10"/>
      <c r="G2" s="16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4" t="s">
        <v>49</v>
      </c>
      <c r="B3" s="5">
        <f>IFERROR(__xludf.DUMMYFUNCTION("IMPORTRANGE(""https://docs.google.com/spreadsheets/d/1zA5LDh046PMNVU8ONXHA9gKBkE8m_N5laGAT0t2JyUg/edit?usp=sharing"",""Perf_globales!I3"")"),36.0)</f>
        <v>36</v>
      </c>
      <c r="C3" s="5"/>
      <c r="D3" s="26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C4" s="5"/>
      <c r="D4" s="26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27"/>
      <c r="B5" s="5"/>
      <c r="C5" s="5"/>
      <c r="D5" s="26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23"/>
      <c r="B6" s="13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12"/>
      <c r="B7" s="13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12"/>
      <c r="B8" s="13"/>
      <c r="C8" s="13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12"/>
      <c r="B9" s="13"/>
      <c r="C9" s="13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12"/>
      <c r="B10" s="13"/>
      <c r="C10" s="13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12"/>
      <c r="B11" s="13"/>
      <c r="C11" s="13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12"/>
      <c r="B12" s="13"/>
      <c r="C12" s="13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12"/>
      <c r="B13" s="13"/>
      <c r="C13" s="13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12"/>
      <c r="B14" s="17"/>
      <c r="C14" s="18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19"/>
      <c r="B17" s="2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19"/>
      <c r="B18" s="2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</v>
      </c>
      <c r="B1" s="1" t="s">
        <v>1</v>
      </c>
      <c r="C1" s="5"/>
      <c r="D1" s="5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4" t="s">
        <v>49</v>
      </c>
      <c r="B2" s="5">
        <f>IFERROR(__xludf.DUMMYFUNCTION("IMPORTRANGE(""https://docs.google.com/spreadsheets/d/1zA5LDh046PMNVU8ONXHA9gKBkE8m_N5laGAT0t2JyUg/edit?usp=sharing"",""Perf_globales!I3"")"),36.0)</f>
        <v>36</v>
      </c>
      <c r="C2" s="5"/>
      <c r="D2" s="26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4" t="s">
        <v>50</v>
      </c>
      <c r="B3" s="30">
        <f>IFERROR(__xludf.DUMMYFUNCTION("IMPORTRANGE(""https://docs.google.com/spreadsheets/d/1zA5LDh046PMNVU8ONXHA9gKBkE8m_N5laGAT0t2JyUg/edit?usp=sharing"",""Perf_globales!L3"")"),7.0)</f>
        <v>7</v>
      </c>
      <c r="C3" s="5"/>
      <c r="D3" s="26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4" t="s">
        <v>51</v>
      </c>
      <c r="B4" s="6">
        <f>IFERROR(__xludf.DUMMYFUNCTION("IMPORTRANGE(""https://docs.google.com/spreadsheets/d/1zA5LDh046PMNVU8ONXHA9gKBkE8m_N5laGAT0t2JyUg/edit?usp=sharing"",""Perf_globales!O3"")"),43.0)</f>
        <v>43</v>
      </c>
      <c r="C4" s="5"/>
      <c r="D4" s="26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4" t="s">
        <v>52</v>
      </c>
      <c r="B5" s="4">
        <v>93.0</v>
      </c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4" t="s">
        <v>53</v>
      </c>
      <c r="B6" s="31">
        <v>47.3</v>
      </c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12"/>
      <c r="B7" s="13"/>
      <c r="C7" s="13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12"/>
      <c r="B8" s="13"/>
      <c r="C8" s="13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12"/>
      <c r="B9" s="13"/>
      <c r="C9" s="13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12"/>
      <c r="B10" s="13"/>
      <c r="C10" s="13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12"/>
      <c r="B11" s="13"/>
      <c r="C11" s="13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12"/>
      <c r="B12" s="13"/>
      <c r="C12" s="13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12"/>
      <c r="B13" s="17"/>
      <c r="C13" s="18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19"/>
      <c r="B16" s="2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19"/>
      <c r="B17" s="2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13"/>
  </cols>
  <sheetData>
    <row r="1">
      <c r="A1" s="8" t="s">
        <v>29</v>
      </c>
      <c r="B1" s="9" t="s">
        <v>33</v>
      </c>
      <c r="C1" s="24" t="s">
        <v>36</v>
      </c>
      <c r="D1" s="24" t="s">
        <v>34</v>
      </c>
      <c r="E1" s="24" t="s">
        <v>35</v>
      </c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</row>
    <row r="2">
      <c r="A2" s="28" t="s">
        <v>33</v>
      </c>
      <c r="B2" s="13">
        <f>IFERROR(__xludf.DUMMYFUNCTION("IMPORTRANGE(""https://docs.google.com/spreadsheets/d/1zA5LDh046PMNVU8ONXHA9gKBkE8m_N5laGAT0t2JyUg/edit?usp=sharing"",""Sources_ventes!B9"")"),16.0)</f>
        <v>16</v>
      </c>
      <c r="C2" s="4">
        <v>0.0</v>
      </c>
      <c r="D2" s="4">
        <v>0.0</v>
      </c>
      <c r="E2" s="4">
        <v>0.0</v>
      </c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</row>
    <row r="3">
      <c r="A3" s="27" t="s">
        <v>37</v>
      </c>
      <c r="B3" s="13">
        <f>IFERROR(__xludf.DUMMYFUNCTION("IMPORTRANGE(""https://docs.google.com/spreadsheets/d/1zA5LDh046PMNVU8ONXHA9gKBkE8m_N5laGAT0t2JyUg/edit?usp=sharing"",""Sources_ventes!B10"")"),5.0)</f>
        <v>5</v>
      </c>
      <c r="C3" s="4">
        <v>0.0</v>
      </c>
      <c r="D3" s="4">
        <v>0.0</v>
      </c>
      <c r="E3" s="4">
        <v>0.0</v>
      </c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</row>
    <row r="4">
      <c r="A4" s="28" t="s">
        <v>38</v>
      </c>
      <c r="B4" s="13">
        <f>IFERROR(__xludf.DUMMYFUNCTION("IMPORTRANGE(""https://docs.google.com/spreadsheets/d/1zA5LDh046PMNVU8ONXHA9gKBkE8m_N5laGAT0t2JyUg/edit?usp=sharing"",""Sources_ventes!B11"")"),3.0)</f>
        <v>3</v>
      </c>
      <c r="C4" s="4">
        <v>0.0</v>
      </c>
      <c r="D4" s="4">
        <v>0.0</v>
      </c>
      <c r="E4" s="4">
        <v>0.0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</row>
    <row r="5">
      <c r="A5" s="28" t="s">
        <v>39</v>
      </c>
      <c r="B5" s="13">
        <f>IFERROR(__xludf.DUMMYFUNCTION("IMPORTRANGE(""https://docs.google.com/spreadsheets/d/1zA5LDh046PMNVU8ONXHA9gKBkE8m_N5laGAT0t2JyUg/edit?usp=sharing"",""Sources_ventes!B12"")"),1.0)</f>
        <v>1</v>
      </c>
      <c r="C5" s="4">
        <v>0.0</v>
      </c>
      <c r="D5" s="4">
        <v>0.0</v>
      </c>
      <c r="E5" s="4">
        <v>0.0</v>
      </c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</row>
    <row r="6">
      <c r="A6" s="28" t="s">
        <v>40</v>
      </c>
      <c r="B6" s="13">
        <f>IFERROR(__xludf.DUMMYFUNCTION("IMPORTRANGE(""https://docs.google.com/spreadsheets/d/1zA5LDh046PMNVU8ONXHA9gKBkE8m_N5laGAT0t2JyUg/edit?usp=sharing"",""Sources_ventes!B13"")"),0.0)</f>
        <v>0</v>
      </c>
      <c r="C6" s="4">
        <v>0.0</v>
      </c>
      <c r="D6" s="4">
        <v>0.0</v>
      </c>
      <c r="E6" s="4">
        <v>0.0</v>
      </c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</row>
    <row r="7">
      <c r="A7" s="28" t="s">
        <v>44</v>
      </c>
      <c r="B7" s="4">
        <v>0.0</v>
      </c>
      <c r="C7" s="4">
        <v>1.0</v>
      </c>
      <c r="D7" s="4">
        <v>0.0</v>
      </c>
      <c r="E7" s="22">
        <v>0.0</v>
      </c>
      <c r="AA7" s="10"/>
      <c r="AB7" s="10"/>
      <c r="AC7" s="10"/>
      <c r="AD7" s="10"/>
      <c r="AE7" s="10"/>
      <c r="AF7" s="10"/>
      <c r="AG7" s="10"/>
    </row>
    <row r="8">
      <c r="A8" s="28" t="s">
        <v>45</v>
      </c>
      <c r="B8" s="4">
        <v>0.0</v>
      </c>
      <c r="C8" s="4">
        <v>5.0</v>
      </c>
      <c r="D8" s="4">
        <v>0.0</v>
      </c>
      <c r="E8" s="22">
        <v>0.0</v>
      </c>
      <c r="AA8" s="10"/>
      <c r="AB8" s="10"/>
      <c r="AC8" s="10"/>
      <c r="AD8" s="10"/>
      <c r="AE8" s="10"/>
      <c r="AF8" s="10"/>
      <c r="AG8" s="10"/>
    </row>
    <row r="9">
      <c r="A9" s="28" t="s">
        <v>46</v>
      </c>
      <c r="B9" s="4">
        <v>0.0</v>
      </c>
      <c r="C9" s="4">
        <v>1.0</v>
      </c>
      <c r="D9" s="4">
        <v>0.0</v>
      </c>
      <c r="E9" s="22">
        <v>0.0</v>
      </c>
      <c r="AA9" s="10"/>
      <c r="AB9" s="10"/>
      <c r="AC9" s="10"/>
      <c r="AD9" s="10"/>
      <c r="AE9" s="10"/>
      <c r="AF9" s="10"/>
      <c r="AG9" s="10"/>
    </row>
    <row r="10">
      <c r="A10" s="28" t="s">
        <v>47</v>
      </c>
      <c r="B10" s="4">
        <v>0.0</v>
      </c>
      <c r="C10" s="4">
        <v>5.0</v>
      </c>
      <c r="D10" s="4">
        <v>0.0</v>
      </c>
      <c r="E10" s="22">
        <v>0.0</v>
      </c>
      <c r="AA10" s="10"/>
      <c r="AB10" s="10"/>
      <c r="AC10" s="10"/>
      <c r="AD10" s="10"/>
      <c r="AE10" s="10"/>
      <c r="AF10" s="10"/>
      <c r="AG10" s="10"/>
    </row>
    <row r="11">
      <c r="A11" s="28" t="s">
        <v>41</v>
      </c>
      <c r="B11" s="4">
        <v>0.0</v>
      </c>
      <c r="C11" s="22">
        <v>0.0</v>
      </c>
      <c r="D11" s="4">
        <v>3.0</v>
      </c>
      <c r="E11" s="4">
        <v>0.0</v>
      </c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</row>
    <row r="12">
      <c r="A12" s="28" t="s">
        <v>42</v>
      </c>
      <c r="B12" s="4">
        <v>0.0</v>
      </c>
      <c r="C12" s="22">
        <v>0.0</v>
      </c>
      <c r="D12" s="4">
        <v>2.0</v>
      </c>
      <c r="E12" s="4">
        <v>0.0</v>
      </c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</row>
    <row r="13">
      <c r="A13" s="28" t="s">
        <v>43</v>
      </c>
      <c r="B13" s="4">
        <v>0.0</v>
      </c>
      <c r="C13" s="22">
        <v>0.0</v>
      </c>
      <c r="D13" s="4">
        <v>1.0</v>
      </c>
      <c r="E13" s="4">
        <v>0.0</v>
      </c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</row>
    <row r="14">
      <c r="A14" s="28" t="s">
        <v>35</v>
      </c>
      <c r="B14" s="4">
        <v>0.0</v>
      </c>
      <c r="C14" s="4">
        <v>0.0</v>
      </c>
      <c r="D14" s="22">
        <v>0.0</v>
      </c>
      <c r="E14" s="4">
        <v>3.0</v>
      </c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</row>
    <row r="15">
      <c r="A15" s="19"/>
      <c r="B15" s="20"/>
      <c r="C15" s="10"/>
      <c r="D15" s="10"/>
      <c r="E15" s="10"/>
      <c r="F15" s="10"/>
      <c r="G15" s="13"/>
      <c r="M15" s="10"/>
      <c r="O15" s="26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</row>
    <row r="16">
      <c r="A16" s="10"/>
      <c r="B16" s="10"/>
      <c r="C16" s="10"/>
      <c r="D16" s="10"/>
      <c r="E16" s="10"/>
      <c r="F16" s="10"/>
      <c r="G16" s="13"/>
      <c r="M16" s="10"/>
      <c r="O16" s="26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</row>
    <row r="17">
      <c r="A17" s="10"/>
      <c r="B17" s="10"/>
      <c r="C17" s="10"/>
      <c r="D17" s="10"/>
      <c r="E17" s="10"/>
      <c r="F17" s="10"/>
      <c r="G17" s="13"/>
      <c r="M17" s="10"/>
      <c r="O17" s="26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</row>
    <row r="18">
      <c r="A18" s="10"/>
      <c r="B18" s="10"/>
      <c r="C18" s="10"/>
      <c r="D18" s="10"/>
      <c r="E18" s="10"/>
      <c r="F18" s="10"/>
      <c r="G18" s="13"/>
      <c r="M18" s="10"/>
      <c r="N18" s="13"/>
      <c r="O18" s="26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</row>
    <row r="19">
      <c r="A19" s="10"/>
      <c r="B19" s="10"/>
      <c r="C19" s="10"/>
      <c r="D19" s="10"/>
      <c r="E19" s="10"/>
      <c r="F19" s="10"/>
      <c r="G19" s="13"/>
      <c r="H19" s="26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</row>
    <row r="20">
      <c r="A20" s="10"/>
      <c r="B20" s="10"/>
      <c r="C20" s="10"/>
      <c r="D20" s="10"/>
      <c r="E20" s="10"/>
      <c r="F20" s="10"/>
      <c r="G20" s="18"/>
      <c r="H20" s="26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</row>
    <row r="21">
      <c r="A21" s="10"/>
      <c r="B21" s="10"/>
      <c r="C21" s="10"/>
      <c r="D21" s="10"/>
      <c r="E21" s="10"/>
      <c r="F21" s="10"/>
      <c r="H21" s="26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</row>
    <row r="22">
      <c r="A22" s="10"/>
      <c r="B22" s="10"/>
      <c r="C22" s="10"/>
      <c r="D22" s="10"/>
      <c r="E22" s="10"/>
      <c r="F22" s="10"/>
      <c r="G22" s="10"/>
      <c r="H22" s="26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</row>
    <row r="23">
      <c r="A23" s="10"/>
      <c r="B23" s="10"/>
      <c r="C23" s="10"/>
      <c r="D23" s="10"/>
      <c r="E23" s="10"/>
      <c r="F23" s="10"/>
      <c r="G23" s="10"/>
      <c r="H23" s="26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</row>
    <row r="24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</row>
    <row r="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</row>
    <row r="26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</row>
    <row r="27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</row>
    <row r="28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</row>
    <row r="29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</row>
    <row r="30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</row>
    <row r="3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</row>
    <row r="32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</row>
    <row r="33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</row>
    <row r="34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</row>
    <row r="3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</row>
    <row r="36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</row>
    <row r="37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</row>
    <row r="38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</row>
    <row r="39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</row>
    <row r="40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</row>
    <row r="4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</row>
    <row r="42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</row>
    <row r="4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</row>
    <row r="44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</row>
    <row r="4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</row>
    <row r="46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</row>
    <row r="47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</row>
    <row r="48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</row>
    <row r="49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</row>
    <row r="50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</row>
    <row r="5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</row>
    <row r="5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</row>
    <row r="5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</row>
    <row r="54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</row>
    <row r="5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</row>
    <row r="56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</row>
    <row r="57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</row>
    <row r="58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</row>
    <row r="59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</row>
    <row r="60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</row>
    <row r="6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</row>
    <row r="6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</row>
    <row r="6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</row>
    <row r="64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</row>
    <row r="6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</row>
    <row r="66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</row>
    <row r="67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</row>
    <row r="68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</row>
    <row r="69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  <c r="AG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  <c r="AG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  <c r="AG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  <c r="AG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  <c r="AG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  <c r="AG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  <c r="AG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  <c r="AG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  <c r="AG997" s="10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29</v>
      </c>
      <c r="B1" s="9" t="s">
        <v>33</v>
      </c>
      <c r="C1" s="24" t="s">
        <v>36</v>
      </c>
      <c r="D1" s="24" t="s">
        <v>34</v>
      </c>
      <c r="E1" s="24" t="s">
        <v>35</v>
      </c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</row>
    <row r="2">
      <c r="A2" s="28" t="s">
        <v>33</v>
      </c>
      <c r="B2" s="13">
        <f>IFERROR(__xludf.DUMMYFUNCTION("IMPORTRANGE(""https://docs.google.com/spreadsheets/d/1zA5LDh046PMNVU8ONXHA9gKBkE8m_N5laGAT0t2JyUg/edit?usp=sharing"",""Sources_ventes!C9"")"),136249.99666666667)</f>
        <v>136249.9967</v>
      </c>
      <c r="C2" s="4">
        <v>0.0</v>
      </c>
      <c r="D2" s="4">
        <v>0.0</v>
      </c>
      <c r="E2" s="4">
        <v>0.0</v>
      </c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</row>
    <row r="3">
      <c r="A3" s="27" t="s">
        <v>37</v>
      </c>
      <c r="B3" s="13">
        <f>IFERROR(__xludf.DUMMYFUNCTION("IMPORTRANGE(""https://docs.google.com/spreadsheets/d/1zA5LDh046PMNVU8ONXHA9gKBkE8m_N5laGAT0t2JyUg/edit?usp=sharing"",""Sources_ventes!C10"")"),37500.00000000001)</f>
        <v>37500</v>
      </c>
      <c r="C3" s="4">
        <v>0.0</v>
      </c>
      <c r="D3" s="4">
        <v>0.0</v>
      </c>
      <c r="E3" s="4">
        <v>0.0</v>
      </c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</row>
    <row r="4">
      <c r="A4" s="28" t="s">
        <v>38</v>
      </c>
      <c r="B4" s="13">
        <f>IFERROR(__xludf.DUMMYFUNCTION("IMPORTRANGE(""https://docs.google.com/spreadsheets/d/1zA5LDh046PMNVU8ONXHA9gKBkE8m_N5laGAT0t2JyUg/edit?usp=sharing"",""Sources_ventes!C11"")"),24166.666666666668)</f>
        <v>24166.66667</v>
      </c>
      <c r="C4" s="4">
        <v>0.0</v>
      </c>
      <c r="D4" s="4">
        <v>0.0</v>
      </c>
      <c r="E4" s="4">
        <v>0.0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</row>
    <row r="5">
      <c r="A5" s="28" t="s">
        <v>39</v>
      </c>
      <c r="B5" s="13">
        <f>IFERROR(__xludf.DUMMYFUNCTION("IMPORTRANGE(""https://docs.google.com/spreadsheets/d/1zA5LDh046PMNVU8ONXHA9gKBkE8m_N5laGAT0t2JyUg/edit?usp=sharing"",""Sources_ventes!C12"")"),7500.0)</f>
        <v>7500</v>
      </c>
      <c r="C5" s="4">
        <v>0.0</v>
      </c>
      <c r="D5" s="4">
        <v>0.0</v>
      </c>
      <c r="E5" s="4">
        <v>0.0</v>
      </c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</row>
    <row r="6">
      <c r="A6" s="28" t="s">
        <v>40</v>
      </c>
      <c r="B6" s="13">
        <f>IFERROR(__xludf.DUMMYFUNCTION("IMPORTRANGE(""https://docs.google.com/spreadsheets/d/1zA5LDh046PMNVU8ONXHA9gKBkE8m_N5laGAT0t2JyUg/edit?usp=sharing"",""Sources_ventes!B13"")"),0.0)</f>
        <v>0</v>
      </c>
      <c r="C6" s="4">
        <v>0.0</v>
      </c>
      <c r="D6" s="4">
        <v>0.0</v>
      </c>
      <c r="E6" s="4">
        <v>0.0</v>
      </c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</row>
    <row r="7">
      <c r="A7" s="28" t="s">
        <v>44</v>
      </c>
      <c r="B7" s="4">
        <v>0.0</v>
      </c>
      <c r="C7" s="5">
        <f>IFERROR(__xludf.DUMMYFUNCTION("IMPORTRANGE(""https://docs.google.com/spreadsheets/d/1zA5LDh046PMNVU8ONXHA9gKBkE8m_N5laGAT0t2JyUg/edit?usp=sharing"",""Sources_ventes!C18"")"),4000.0)</f>
        <v>4000</v>
      </c>
      <c r="D7" s="4">
        <v>0.0</v>
      </c>
      <c r="E7" s="22">
        <v>0.0</v>
      </c>
      <c r="AA7" s="10"/>
      <c r="AB7" s="10"/>
      <c r="AC7" s="10"/>
      <c r="AD7" s="10"/>
      <c r="AE7" s="10"/>
      <c r="AF7" s="10"/>
      <c r="AG7" s="10"/>
    </row>
    <row r="8">
      <c r="A8" s="28" t="s">
        <v>45</v>
      </c>
      <c r="B8" s="4">
        <v>0.0</v>
      </c>
      <c r="C8" s="5">
        <f>IFERROR(__xludf.DUMMYFUNCTION("IMPORTRANGE(""https://docs.google.com/spreadsheets/d/1zA5LDh046PMNVU8ONXHA9gKBkE8m_N5laGAT0t2JyUg/edit?usp=sharing"",""Sources_ventes!C19"")"),35716.66666666667)</f>
        <v>35716.66667</v>
      </c>
      <c r="D8" s="4">
        <v>0.0</v>
      </c>
      <c r="E8" s="22">
        <v>0.0</v>
      </c>
      <c r="AA8" s="10"/>
      <c r="AB8" s="10"/>
      <c r="AC8" s="10"/>
      <c r="AD8" s="10"/>
      <c r="AE8" s="10"/>
      <c r="AF8" s="10"/>
      <c r="AG8" s="10"/>
    </row>
    <row r="9">
      <c r="A9" s="28" t="s">
        <v>46</v>
      </c>
      <c r="B9" s="4">
        <v>0.0</v>
      </c>
      <c r="C9" s="5">
        <f>IFERROR(__xludf.DUMMYFUNCTION("IMPORTRANGE(""https://docs.google.com/spreadsheets/d/1zA5LDh046PMNVU8ONXHA9gKBkE8m_N5laGAT0t2JyUg/edit?usp=sharing"",""Sources_ventes!C20"")"),8333.333333333334)</f>
        <v>8333.333333</v>
      </c>
      <c r="D9" s="4">
        <v>0.0</v>
      </c>
      <c r="E9" s="22">
        <v>0.0</v>
      </c>
      <c r="AA9" s="10"/>
      <c r="AB9" s="10"/>
      <c r="AC9" s="10"/>
      <c r="AD9" s="10"/>
      <c r="AE9" s="10"/>
      <c r="AF9" s="10"/>
      <c r="AG9" s="10"/>
    </row>
    <row r="10">
      <c r="A10" s="28" t="s">
        <v>47</v>
      </c>
      <c r="B10" s="4">
        <v>0.0</v>
      </c>
      <c r="C10" s="5">
        <f>IFERROR(__xludf.DUMMYFUNCTION("IMPORTRANGE(""https://docs.google.com/spreadsheets/d/1zA5LDh046PMNVU8ONXHA9gKBkE8m_N5laGAT0t2JyUg/edit?usp=sharing"",""Sources_ventes!C21"")"),44166.66666666667)</f>
        <v>44166.66667</v>
      </c>
      <c r="D10" s="4">
        <v>0.0</v>
      </c>
      <c r="E10" s="22">
        <v>0.0</v>
      </c>
      <c r="AA10" s="10"/>
      <c r="AB10" s="10"/>
      <c r="AC10" s="10"/>
      <c r="AD10" s="10"/>
      <c r="AE10" s="10"/>
      <c r="AF10" s="10"/>
      <c r="AG10" s="10"/>
    </row>
    <row r="11">
      <c r="A11" s="28" t="s">
        <v>41</v>
      </c>
      <c r="B11" s="4">
        <v>0.0</v>
      </c>
      <c r="C11" s="22">
        <v>0.0</v>
      </c>
      <c r="D11" s="5">
        <f>IFERROR(__xludf.DUMMYFUNCTION("IMPORTRANGE(""https://docs.google.com/spreadsheets/d/1zA5LDh046PMNVU8ONXHA9gKBkE8m_N5laGAT0t2JyUg/edit?usp=sharing"",""Sources_ventes!C14"")"),15833.333333333336)</f>
        <v>15833.33333</v>
      </c>
      <c r="E11" s="4">
        <v>0.0</v>
      </c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</row>
    <row r="12">
      <c r="A12" s="28" t="s">
        <v>42</v>
      </c>
      <c r="B12" s="4">
        <v>0.0</v>
      </c>
      <c r="C12" s="22">
        <v>0.0</v>
      </c>
      <c r="D12" s="5">
        <f>IFERROR(__xludf.DUMMYFUNCTION("IMPORTRANGE(""https://docs.google.com/spreadsheets/d/1zA5LDh046PMNVU8ONXHA9gKBkE8m_N5laGAT0t2JyUg/edit?usp=sharing"",""Sources_ventes!C15"")"),15000.0)</f>
        <v>15000</v>
      </c>
      <c r="E12" s="4">
        <v>0.0</v>
      </c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</row>
    <row r="13">
      <c r="A13" s="28" t="s">
        <v>43</v>
      </c>
      <c r="B13" s="4">
        <v>0.0</v>
      </c>
      <c r="C13" s="22">
        <v>0.0</v>
      </c>
      <c r="D13" s="5">
        <f>IFERROR(__xludf.DUMMYFUNCTION("IMPORTRANGE(""https://docs.google.com/spreadsheets/d/1zA5LDh046PMNVU8ONXHA9gKBkE8m_N5laGAT0t2JyUg/edit?usp=sharing"",""Sources_ventes!C16"")"),10000.0)</f>
        <v>10000</v>
      </c>
      <c r="E13" s="4">
        <v>0.0</v>
      </c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</row>
    <row r="14">
      <c r="A14" s="28" t="s">
        <v>35</v>
      </c>
      <c r="B14" s="4">
        <v>0.0</v>
      </c>
      <c r="C14" s="4">
        <v>0.0</v>
      </c>
      <c r="D14" s="22">
        <v>0.0</v>
      </c>
      <c r="E14" s="5">
        <f>IFERROR(__xludf.DUMMYFUNCTION("IMPORTRANGE(""https://docs.google.com/spreadsheets/d/1zA5LDh046PMNVU8ONXHA9gKBkE8m_N5laGAT0t2JyUg/edit?usp=sharing"",""Sources_ventes!C17"")"),23333.333333333336)</f>
        <v>23333.33333</v>
      </c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</row>
    <row r="15">
      <c r="A15" s="19"/>
      <c r="B15" s="20"/>
      <c r="C15" s="10"/>
      <c r="D15" s="10"/>
      <c r="E15" s="10"/>
      <c r="F15" s="10"/>
      <c r="G15" s="13"/>
      <c r="M15" s="10"/>
      <c r="O15" s="26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</row>
    <row r="16">
      <c r="A16" s="10"/>
      <c r="B16" s="10"/>
      <c r="C16" s="10"/>
      <c r="D16" s="10"/>
      <c r="E16" s="10"/>
      <c r="F16" s="10"/>
      <c r="G16" s="13"/>
      <c r="M16" s="10"/>
      <c r="O16" s="26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</row>
    <row r="17">
      <c r="A17" s="10"/>
      <c r="B17" s="10"/>
      <c r="C17" s="10"/>
      <c r="D17" s="10"/>
      <c r="E17" s="10"/>
      <c r="F17" s="10"/>
      <c r="G17" s="13"/>
      <c r="M17" s="10"/>
      <c r="O17" s="26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</row>
    <row r="18">
      <c r="A18" s="10"/>
      <c r="B18" s="10"/>
      <c r="C18" s="10"/>
      <c r="D18" s="10"/>
      <c r="E18" s="10"/>
      <c r="F18" s="10"/>
      <c r="G18" s="13"/>
      <c r="M18" s="10"/>
      <c r="N18" s="13"/>
      <c r="O18" s="26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</row>
    <row r="19">
      <c r="A19" s="10"/>
      <c r="B19" s="10"/>
      <c r="C19" s="10"/>
      <c r="D19" s="10"/>
      <c r="E19" s="10"/>
      <c r="F19" s="10"/>
      <c r="G19" s="13"/>
      <c r="H19" s="26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</row>
    <row r="20">
      <c r="A20" s="10"/>
      <c r="B20" s="10"/>
      <c r="C20" s="10"/>
      <c r="D20" s="10"/>
      <c r="E20" s="10"/>
      <c r="F20" s="10"/>
      <c r="G20" s="18"/>
      <c r="H20" s="26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</row>
    <row r="21">
      <c r="A21" s="10"/>
      <c r="B21" s="10"/>
      <c r="C21" s="10"/>
      <c r="D21" s="10"/>
      <c r="E21" s="10"/>
      <c r="F21" s="10"/>
      <c r="H21" s="26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</row>
    <row r="22">
      <c r="A22" s="10"/>
      <c r="B22" s="10"/>
      <c r="C22" s="10"/>
      <c r="D22" s="10"/>
      <c r="E22" s="10"/>
      <c r="F22" s="10"/>
      <c r="G22" s="10"/>
      <c r="H22" s="26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</row>
    <row r="23">
      <c r="A23" s="10"/>
      <c r="B23" s="10"/>
      <c r="C23" s="10"/>
      <c r="D23" s="10"/>
      <c r="E23" s="10"/>
      <c r="F23" s="10"/>
      <c r="G23" s="10"/>
      <c r="H23" s="26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</row>
    <row r="24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</row>
    <row r="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</row>
    <row r="26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</row>
    <row r="27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</row>
    <row r="28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</row>
    <row r="29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</row>
    <row r="30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</row>
    <row r="3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</row>
    <row r="32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</row>
    <row r="33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</row>
    <row r="34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</row>
    <row r="3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</row>
    <row r="36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</row>
    <row r="37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</row>
    <row r="38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</row>
    <row r="39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</row>
    <row r="40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</row>
    <row r="4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</row>
    <row r="42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</row>
    <row r="4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</row>
    <row r="44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</row>
    <row r="4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</row>
    <row r="46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</row>
    <row r="47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</row>
    <row r="48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</row>
    <row r="49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</row>
    <row r="50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</row>
    <row r="5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</row>
    <row r="5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</row>
    <row r="5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</row>
    <row r="54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</row>
    <row r="5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</row>
    <row r="56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</row>
    <row r="57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</row>
    <row r="58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</row>
    <row r="59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</row>
    <row r="60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</row>
    <row r="6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</row>
    <row r="6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</row>
    <row r="6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</row>
    <row r="64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</row>
    <row r="6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</row>
    <row r="66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</row>
    <row r="67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</row>
    <row r="68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</row>
    <row r="69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  <c r="AG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  <c r="AG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  <c r="AG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  <c r="AG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  <c r="AG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  <c r="AG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  <c r="AG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  <c r="AG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  <c r="AG997" s="10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54</v>
      </c>
      <c r="B1" s="9" t="s">
        <v>55</v>
      </c>
      <c r="C1" s="24" t="s">
        <v>56</v>
      </c>
      <c r="D1" s="24" t="s">
        <v>57</v>
      </c>
      <c r="E1" s="24" t="s">
        <v>58</v>
      </c>
      <c r="F1" s="24" t="s">
        <v>59</v>
      </c>
      <c r="G1" s="24" t="s">
        <v>60</v>
      </c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</row>
    <row r="2">
      <c r="A2" s="28" t="s">
        <v>12</v>
      </c>
      <c r="B2" s="32">
        <f>1900+176.4+7.99+3000+256.92+241.64+9.99+294.55+877.46+372.69+106.92+50.97+1400+98.46+134.26+48+38.31+53.9+924.33+6.08+450+74.4+2.46+346+1.99+7.99+851.7+2257+400+557</f>
        <v>14947.41</v>
      </c>
      <c r="C2" s="33">
        <f>50.11+27+27+27+27+299.99+90+2276.02+418.8+418.8+5000+812.4+120+250+400</f>
        <v>10244.12</v>
      </c>
      <c r="D2" s="34">
        <f>14.32+10+6+58.35+26.9+57+2.8+57.6+65+51+54.4+23+27.3+99+44.2</f>
        <v>596.87</v>
      </c>
      <c r="E2" s="34">
        <f>5000</f>
        <v>5000</v>
      </c>
      <c r="F2" s="34">
        <v>5020.0</v>
      </c>
      <c r="G2" s="34">
        <f>60+521+7+110.74+52.83+129.48+1341.38</f>
        <v>2222.43</v>
      </c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</row>
    <row r="3">
      <c r="A3" s="28" t="s">
        <v>13</v>
      </c>
      <c r="B3" s="32">
        <f>1900+300+250+514.19+877.46+372.69+2500+226.2+9.99+100.8+851.7+50.97+1400+82.83+48+134.26+38.31+924.33+450+418.8+46.05+346+2.46+74.4+1.99+60+541.11+2257+400+526</f>
        <v>15705.54</v>
      </c>
      <c r="C3" s="32">
        <f>20+3021+276+30.14</f>
        <v>3347.14</v>
      </c>
      <c r="D3" s="34">
        <f>11.4+16.48+86.2+190.13+190.13+12.3+22.88+149.9+59.9+13.78+14.59+3.7+32.85+14.45+67.5+31+41.8</f>
        <v>958.99</v>
      </c>
      <c r="E3" s="34">
        <f>4000+4438.19+4500</f>
        <v>12938.19</v>
      </c>
      <c r="F3" s="34">
        <v>2330.0</v>
      </c>
      <c r="G3" s="34">
        <f>60+339+7+42.89</f>
        <v>448.89</v>
      </c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</row>
    <row r="4">
      <c r="A4" s="28" t="s">
        <v>14</v>
      </c>
      <c r="B4" s="32">
        <f>2200+2500+269.44+400.38+851.7+7.99+60+877.46+372.69+252.6+9.99+50.97+100.8+348+1400+82.41+11.85+134.26+38.31+924.33+450+60+30+346+541.11+1.99+2.46+74.4+3300+7.99+500</f>
        <v>16207.13</v>
      </c>
      <c r="C4" s="32">
        <f>174+270+410+1029.6+47.66+33.8+885+132</f>
        <v>2982.06</v>
      </c>
      <c r="D4" s="34">
        <f>7.38+43.1+41.68+33.8+14.7+38.39+49.3+90.5+19.7+10+19.7+12.88+18.6+29.5+28.5+77.6</f>
        <v>535.33</v>
      </c>
      <c r="E4" s="34">
        <f>2500</f>
        <v>2500</v>
      </c>
      <c r="F4" s="34">
        <f>3821+6+11023</f>
        <v>14850</v>
      </c>
      <c r="G4" s="34">
        <f>1093.94+60+930+42.68</f>
        <v>2126.62</v>
      </c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</row>
    <row r="5">
      <c r="A5" s="28" t="s">
        <v>15</v>
      </c>
      <c r="B5" s="32">
        <f>2250+294.55+418.8+23.66+9.99+176.4+265.8+2200+877.46+372.69+1400+81.36+50.97+134.26+133.2+851.7+38.31+137.39+269.44+269.44+924.33+450+30+181.48+541.11+2.46+74.4+1.99+561.04+28.8+59.8</f>
        <v>13110.83</v>
      </c>
      <c r="C5" s="33">
        <f>367.48+1347.06+11239.62+190+336.76+27+27+27+27+27+27+27+27+5000+750.6</f>
        <v>19447.52</v>
      </c>
      <c r="D5" s="35">
        <f>73+39.3+22.72+541.85+7.4+15.76+24.4+100.46+18.3+268.1+43.7+7.83+46.9+15.98+44+25</f>
        <v>1294.7</v>
      </c>
      <c r="E5" s="34">
        <f>4000+5000+6000</f>
        <v>15000</v>
      </c>
      <c r="F5" s="34">
        <v>5487.0</v>
      </c>
      <c r="G5" s="34">
        <f>1155.25+90+301+25.31+60.12+68.54+207.57+42.68</f>
        <v>1950.47</v>
      </c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</row>
    <row r="6">
      <c r="A6" s="28" t="s">
        <v>16</v>
      </c>
      <c r="B6" s="33">
        <f>100.8+2250+3300+8.99+27.02+500+1750+226.2+9.99+877.46+372.69+118.8+150+1400+81.99+50+50.97+134.26+851.7+38.31+250+250+924.33+450+30+541.11+74.4+2.46+3300+466.53+8.99+1.99+56.07+1.93+2500</f>
        <v>21156.99</v>
      </c>
      <c r="C6" s="33">
        <f>2250+44+120+350+300+2874+259.2</f>
        <v>6197.2</v>
      </c>
      <c r="D6" s="34">
        <f>20.4+176.4+10.62+6.86+21.08+20.9+35.48+37+4.5+60+59.2</f>
        <v>452.44</v>
      </c>
      <c r="E6" s="34">
        <v>0.0</v>
      </c>
      <c r="F6" s="34">
        <v>5443.0</v>
      </c>
      <c r="G6" s="34">
        <f>1321.24+60+345+1287.54+64.04</f>
        <v>3077.82</v>
      </c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</row>
    <row r="7">
      <c r="A7" s="4" t="s">
        <v>17</v>
      </c>
      <c r="B7" s="32">
        <f>2250+1.92+55.76+483.91+67.45+9.99+877.46+372.69+226.2+1.47+40.29+118.8+50.97+1400+851.7+134.26+41.78+269.44+269.44+38.31+924.33+450+30+541.11+86.74+466.53+1.99+120+3300+8.99+500</f>
        <v>13991.53</v>
      </c>
      <c r="C7" s="32">
        <f>58+17+528+18+27+27+27+27+27+27+136.78</f>
        <v>919.78</v>
      </c>
      <c r="D7" s="34">
        <f>120.5+8.32+65.4+75.63+100+25.8+42.5+67.55+41.6+27.3</f>
        <v>574.6</v>
      </c>
      <c r="E7" s="34">
        <v>0.0</v>
      </c>
      <c r="F7" s="34">
        <v>809.0</v>
      </c>
      <c r="G7" s="34">
        <f>336+42.68</f>
        <v>378.68</v>
      </c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</row>
    <row r="8">
      <c r="A8" s="28" t="s">
        <v>18</v>
      </c>
      <c r="B8" s="32">
        <f>2250+294.55+185.4+2500+24.05+9.99+67.45+252+100.8+372.69+877.46+1400+81.15+118.8+134.26+50.97+50+851.7+38.31+924.33+30+541.11+86.74+466.53+1.99+3300+2500</f>
        <v>17510.28</v>
      </c>
      <c r="C8" s="33">
        <f>353.31+180+199.99+650+315+36+3502.93+92.6</f>
        <v>5329.83</v>
      </c>
      <c r="D8" s="35">
        <f>16.2+12.8+228+259+313.68+33.4+415.05+48.95+9+116+69+15.07+19+45+56+119.6+13.5+41.8</f>
        <v>1831.05</v>
      </c>
      <c r="E8" s="34">
        <f>6000+6000+4200-(2700)</f>
        <v>13500</v>
      </c>
      <c r="F8" s="34">
        <v>7217.0</v>
      </c>
      <c r="G8" s="34">
        <f>976.72+1837.98+257+25.58+51.13+66.83+68.54</f>
        <v>3283.78</v>
      </c>
      <c r="AA8" s="10"/>
      <c r="AB8" s="10"/>
      <c r="AC8" s="10"/>
      <c r="AD8" s="10"/>
      <c r="AE8" s="10"/>
      <c r="AF8" s="10"/>
      <c r="AG8" s="10"/>
    </row>
    <row r="9">
      <c r="A9" s="28" t="s">
        <v>19</v>
      </c>
      <c r="B9" s="32">
        <f>9.59+199.8+67.45+118.8+50+851.7+134.26+541.11+8.99+3300+37.9+500+2250+373+27.11+1.43+39.08+9.99+372.69+877.46+50.97+1000+9.12+0.56+1400+81.36+38.31+60+30+1.99+84+2.74+466+500+1091.52</f>
        <v>14586.93</v>
      </c>
      <c r="C9" s="32">
        <f>3642+27+27+27+27+35+27+27+158+87.1+689+139</f>
        <v>4912.1</v>
      </c>
      <c r="D9" s="35">
        <f>145+564+41.6+17.4+204+154.7+35+7.65+51.2+62.25+47.3+66.9+38.4+5.5+57.5+70.8</f>
        <v>1569.2</v>
      </c>
      <c r="E9" s="34">
        <f>4800+9000+2880-(2780)</f>
        <v>13900</v>
      </c>
      <c r="F9" s="34">
        <v>5774.0</v>
      </c>
      <c r="G9" s="34">
        <v>2413.0</v>
      </c>
      <c r="AA9" s="10"/>
      <c r="AB9" s="10"/>
      <c r="AC9" s="10"/>
      <c r="AD9" s="10"/>
      <c r="AE9" s="10"/>
      <c r="AF9" s="10"/>
      <c r="AG9" s="10"/>
    </row>
    <row r="10">
      <c r="A10" s="28" t="s">
        <v>20</v>
      </c>
      <c r="B10" s="33">
        <v>19043.0</v>
      </c>
      <c r="C10" s="33">
        <v>7644.0</v>
      </c>
      <c r="D10" s="35">
        <v>2450.0</v>
      </c>
      <c r="E10" s="34">
        <v>0.0</v>
      </c>
      <c r="F10" s="34">
        <v>4171.0</v>
      </c>
      <c r="G10" s="34">
        <v>0.0</v>
      </c>
      <c r="AA10" s="10"/>
      <c r="AB10" s="10"/>
      <c r="AC10" s="10"/>
      <c r="AD10" s="10"/>
      <c r="AE10" s="10"/>
      <c r="AF10" s="10"/>
      <c r="AG10" s="10"/>
    </row>
    <row r="11">
      <c r="A11" s="28" t="s">
        <v>21</v>
      </c>
      <c r="B11" s="33">
        <v>18241.0</v>
      </c>
      <c r="C11" s="33">
        <v>12180.0</v>
      </c>
      <c r="D11" s="34">
        <v>944.0</v>
      </c>
      <c r="E11" s="34">
        <f>6000+6000+6000-(3000)</f>
        <v>15000</v>
      </c>
      <c r="F11" s="34">
        <v>12155.0</v>
      </c>
      <c r="G11" s="34">
        <v>0.0</v>
      </c>
      <c r="AA11" s="10"/>
      <c r="AB11" s="10"/>
      <c r="AC11" s="10"/>
      <c r="AD11" s="10"/>
      <c r="AE11" s="10"/>
      <c r="AF11" s="10"/>
      <c r="AG11" s="10"/>
    </row>
    <row r="12">
      <c r="A12" s="28" t="s">
        <v>22</v>
      </c>
      <c r="B12" s="33">
        <v>20350.0</v>
      </c>
      <c r="C12" s="33">
        <v>17864.0</v>
      </c>
      <c r="D12" s="34">
        <v>644.0</v>
      </c>
      <c r="E12" s="34">
        <f>6100-(600)</f>
        <v>5500</v>
      </c>
      <c r="F12" s="34">
        <v>0.0</v>
      </c>
      <c r="G12" s="34">
        <v>0.0</v>
      </c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</row>
    <row r="13">
      <c r="A13" s="28" t="s">
        <v>23</v>
      </c>
      <c r="B13" s="32">
        <v>15155.0</v>
      </c>
      <c r="C13" s="36">
        <v>14895.0</v>
      </c>
      <c r="D13" s="37">
        <v>634.0</v>
      </c>
      <c r="E13" s="37">
        <f>4200-(700)</f>
        <v>3500</v>
      </c>
      <c r="F13" s="34">
        <v>0.0</v>
      </c>
      <c r="G13" s="34">
        <v>0.0</v>
      </c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</row>
    <row r="14">
      <c r="A14" s="28"/>
      <c r="C14" s="22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</row>
    <row r="15">
      <c r="A15" s="28"/>
      <c r="B15" s="38"/>
      <c r="D15" s="22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</row>
    <row r="16">
      <c r="A16" s="19"/>
      <c r="C16" s="10"/>
      <c r="D16" s="10"/>
      <c r="E16" s="10"/>
      <c r="F16" s="10"/>
      <c r="G16" s="13"/>
      <c r="M16" s="10"/>
      <c r="O16" s="26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</row>
    <row r="17">
      <c r="A17" s="10"/>
      <c r="B17" s="39"/>
      <c r="C17" s="10"/>
      <c r="D17" s="10"/>
      <c r="E17" s="10"/>
      <c r="F17" s="10"/>
      <c r="G17" s="13"/>
      <c r="M17" s="10"/>
      <c r="O17" s="26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</row>
    <row r="18">
      <c r="A18" s="10"/>
      <c r="C18" s="10"/>
      <c r="D18" s="10"/>
      <c r="E18" s="10"/>
      <c r="F18" s="10"/>
      <c r="G18" s="13"/>
      <c r="M18" s="10"/>
      <c r="O18" s="26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</row>
    <row r="19">
      <c r="A19" s="10"/>
      <c r="B19" s="40"/>
      <c r="C19" s="10"/>
      <c r="D19" s="10"/>
      <c r="E19" s="10"/>
      <c r="F19" s="10"/>
      <c r="G19" s="13"/>
      <c r="M19" s="10"/>
      <c r="N19" s="13"/>
      <c r="O19" s="26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</row>
    <row r="20">
      <c r="A20" s="10"/>
      <c r="B20" s="41"/>
      <c r="C20" s="10"/>
      <c r="D20" s="10"/>
      <c r="E20" s="10"/>
      <c r="F20" s="10"/>
      <c r="G20" s="13"/>
      <c r="H20" s="26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</row>
    <row r="21">
      <c r="A21" s="10"/>
      <c r="B21" s="10"/>
      <c r="C21" s="10"/>
      <c r="D21" s="10"/>
      <c r="E21" s="10"/>
      <c r="F21" s="10"/>
      <c r="G21" s="18"/>
      <c r="H21" s="26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</row>
    <row r="22">
      <c r="A22" s="10"/>
      <c r="B22" s="10"/>
      <c r="C22" s="10"/>
      <c r="D22" s="10"/>
      <c r="E22" s="10"/>
      <c r="F22" s="10"/>
      <c r="H22" s="26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</row>
    <row r="23">
      <c r="A23" s="10"/>
      <c r="B23" s="10"/>
      <c r="C23" s="10"/>
      <c r="D23" s="10"/>
      <c r="E23" s="10"/>
      <c r="F23" s="10"/>
      <c r="G23" s="10"/>
      <c r="H23" s="26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</row>
    <row r="24">
      <c r="A24" s="10"/>
      <c r="B24" s="10"/>
      <c r="C24" s="10"/>
      <c r="D24" s="10"/>
      <c r="E24" s="10"/>
      <c r="F24" s="10"/>
      <c r="G24" s="10"/>
      <c r="H24" s="26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</row>
    <row r="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</row>
    <row r="26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</row>
    <row r="27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</row>
    <row r="28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</row>
    <row r="29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</row>
    <row r="30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</row>
    <row r="3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</row>
    <row r="32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</row>
    <row r="33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</row>
    <row r="34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</row>
    <row r="3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</row>
    <row r="36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</row>
    <row r="37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</row>
    <row r="38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</row>
    <row r="39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</row>
    <row r="40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</row>
    <row r="4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</row>
    <row r="42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</row>
    <row r="4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</row>
    <row r="44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</row>
    <row r="4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</row>
    <row r="46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</row>
    <row r="47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</row>
    <row r="48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</row>
    <row r="49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</row>
    <row r="50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</row>
    <row r="5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</row>
    <row r="5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</row>
    <row r="5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</row>
    <row r="54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</row>
    <row r="5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</row>
    <row r="56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</row>
    <row r="57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</row>
    <row r="58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</row>
    <row r="59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</row>
    <row r="60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</row>
    <row r="6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</row>
    <row r="6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</row>
    <row r="6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</row>
    <row r="64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</row>
    <row r="6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</row>
    <row r="66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</row>
    <row r="67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</row>
    <row r="68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</row>
    <row r="69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  <c r="AG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  <c r="AG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  <c r="AG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  <c r="AG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  <c r="AG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  <c r="AG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  <c r="AG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  <c r="AG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  <c r="AG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  <c r="AG998" s="10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</v>
      </c>
      <c r="B1" s="1" t="s">
        <v>1</v>
      </c>
      <c r="C1" s="5"/>
      <c r="D1" s="5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4" t="s">
        <v>61</v>
      </c>
      <c r="B2" s="6">
        <f>IFERROR(__xludf.DUMMYFUNCTION("IMPORTRANGE(""https://docs.google.com/spreadsheets/d/1zA5LDh046PMNVU8ONXHA9gKBkE8m_N5laGAT0t2JyUg/edit?usp=sharing"",""Perf_agents!B2"")"),26.0)</f>
        <v>26</v>
      </c>
      <c r="C2" s="5"/>
      <c r="D2" s="26"/>
      <c r="E2" s="10"/>
      <c r="F2" s="10"/>
      <c r="G2" s="16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4" t="s">
        <v>62</v>
      </c>
      <c r="B3" s="5">
        <f>IFERROR(__xludf.DUMMYFUNCTION("IMPORTRANGE(""https://docs.google.com/spreadsheets/d/1zA5LDh046PMNVU8ONXHA9gKBkE8m_N5laGAT0t2JyUg/edit?usp=sharing"",""Perf_agents!B3"")"),19.0)</f>
        <v>19</v>
      </c>
      <c r="C3" s="5"/>
      <c r="D3" s="26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4" t="s">
        <v>63</v>
      </c>
      <c r="B4" s="30">
        <f>IFERROR(__xludf.DUMMYFUNCTION("IMPORTRANGE(""https://docs.google.com/spreadsheets/d/1zA5LDh046PMNVU8ONXHA9gKBkE8m_N5laGAT0t2JyUg/edit?usp=sharing"",""Perf_agents!B4"")"),1.0)</f>
        <v>1</v>
      </c>
      <c r="C4" s="5"/>
      <c r="D4" s="26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27"/>
      <c r="B5" s="5"/>
      <c r="C5" s="5"/>
      <c r="D5" s="26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23"/>
      <c r="B6" s="13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12"/>
      <c r="B7" s="13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12"/>
      <c r="B8" s="13"/>
      <c r="C8" s="13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12"/>
      <c r="B9" s="13"/>
      <c r="C9" s="13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12"/>
      <c r="B10" s="13"/>
      <c r="C10" s="13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12"/>
      <c r="B11" s="13"/>
      <c r="C11" s="13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12"/>
      <c r="B12" s="13"/>
      <c r="C12" s="13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12"/>
      <c r="B13" s="13"/>
      <c r="C13" s="13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12"/>
      <c r="B14" s="17"/>
      <c r="C14" s="18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19"/>
      <c r="B17" s="2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19"/>
      <c r="B18" s="2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</v>
      </c>
      <c r="B1" s="1" t="s">
        <v>1</v>
      </c>
      <c r="C1" s="5"/>
      <c r="D1" s="5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10" t="s">
        <v>64</v>
      </c>
      <c r="B2" s="13">
        <f>IFERROR(__xludf.DUMMYFUNCTION("IMPORTRANGE(""https://docs.google.com/spreadsheets/d/1zA5LDh046PMNVU8ONXHA9gKBkE8m_N5laGAT0t2JyUg/edit?usp=sharing"",""Perf_agents!C2"")"),206966.6633333333)</f>
        <v>206966.6633</v>
      </c>
      <c r="C2" s="5"/>
      <c r="D2" s="26"/>
      <c r="E2" s="10"/>
      <c r="F2" s="10"/>
      <c r="G2" s="16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10" t="s">
        <v>65</v>
      </c>
      <c r="B3" s="13">
        <f>IFERROR(__xludf.DUMMYFUNCTION("IMPORTRANGE(""https://docs.google.com/spreadsheets/d/1zA5LDh046PMNVU8ONXHA9gKBkE8m_N5laGAT0t2JyUg/edit?usp=sharing"",""Perf_agents!C3"")"),145666.6666666667)</f>
        <v>145666.6667</v>
      </c>
      <c r="C3" s="5"/>
      <c r="D3" s="26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10" t="s">
        <v>66</v>
      </c>
      <c r="B4" s="13">
        <f>IFERROR(__xludf.DUMMYFUNCTION("IMPORTRANGE(""https://docs.google.com/spreadsheets/d/1zA5LDh046PMNVU8ONXHA9gKBkE8m_N5laGAT0t2JyUg/edit?usp=sharing"",""Perf_agents!C4"")"),9166.0)</f>
        <v>9166</v>
      </c>
      <c r="C4" s="5"/>
      <c r="D4" s="26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27"/>
      <c r="B5" s="5"/>
      <c r="C5" s="5"/>
      <c r="D5" s="26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23"/>
      <c r="B6" s="13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12"/>
      <c r="B7" s="13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12"/>
      <c r="B8" s="13"/>
      <c r="C8" s="13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12"/>
      <c r="B9" s="13"/>
      <c r="C9" s="13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12"/>
      <c r="B10" s="13"/>
      <c r="C10" s="13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12"/>
      <c r="B11" s="13"/>
      <c r="C11" s="13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12"/>
      <c r="B12" s="13"/>
      <c r="C12" s="13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12"/>
      <c r="B13" s="13"/>
      <c r="C13" s="13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12"/>
      <c r="B14" s="17"/>
      <c r="C14" s="18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19"/>
      <c r="B17" s="2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19"/>
      <c r="B18" s="2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7</v>
      </c>
      <c r="B1" s="42" t="s">
        <v>67</v>
      </c>
      <c r="C1" s="42" t="s">
        <v>68</v>
      </c>
      <c r="D1" s="43" t="s">
        <v>69</v>
      </c>
      <c r="E1" s="43" t="s">
        <v>70</v>
      </c>
      <c r="F1" s="43" t="s">
        <v>71</v>
      </c>
      <c r="G1" s="43" t="s">
        <v>72</v>
      </c>
      <c r="H1" s="43" t="s">
        <v>73</v>
      </c>
      <c r="I1" s="44" t="s">
        <v>74</v>
      </c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12" t="s">
        <v>12</v>
      </c>
      <c r="B2" s="13">
        <f>IFERROR(__xludf.DUMMYFUNCTION("IMPORTRANGE(""https://docs.google.com/spreadsheets/d/1zA5LDh046PMNVU8ONXHA9gKBkE8m_N5laGAT0t2JyUg/edit?usp=sharing"",""Perf_agents!B9"")"),1.0)</f>
        <v>1</v>
      </c>
      <c r="C2" s="13">
        <f>IFERROR(__xludf.DUMMYFUNCTION("IMPORTRANGE(""https://docs.google.com/spreadsheets/d/1zA5LDh046PMNVU8ONXHA9gKBkE8m_N5laGAT0t2JyUg/edit?usp=sharing"",""Perf_agents!B26"")"),1.0)</f>
        <v>1</v>
      </c>
      <c r="D2" s="45">
        <f>IFERROR(__xludf.DUMMYFUNCTION("IMPORTRANGE(""https://docs.google.com/spreadsheets/d/1zA5LDh046PMNVU8ONXHA9gKBkE8m_N5laGAT0t2JyUg/edit?usp=sharing"",""Perf_agents!C9"")"),8333.333333333334)</f>
        <v>8333.333333</v>
      </c>
      <c r="E2" s="45">
        <f>IFERROR(__xludf.DUMMYFUNCTION("IMPORTRANGE(""https://docs.google.com/spreadsheets/d/1zA5LDh046PMNVU8ONXHA9gKBkE8m_N5laGAT0t2JyUg/edit?usp=sharing"",""Perf_agents!C26"")"),8333.333333333334)</f>
        <v>8333.333333</v>
      </c>
      <c r="F2" s="11">
        <f>IFERROR(__xludf.DUMMYFUNCTION("IMPORTRANGE(""https://docs.google.com/spreadsheets/d/1zA5LDh046PMNVU8ONXHA9gKBkE8m_N5laGAT0t2JyUg/edit?usp=sharing"",""Perf_agents!D9"")"),0.0)</f>
        <v>0</v>
      </c>
      <c r="G2" s="11">
        <f>IFERROR(__xludf.DUMMYFUNCTION("IMPORTRANGE(""https://docs.google.com/spreadsheets/d/1zA5LDh046PMNVU8ONXHA9gKBkE8m_N5laGAT0t2JyUg/edit?usp=sharing"",""Perf_agents!D26"")"),5000.0)</f>
        <v>5000</v>
      </c>
      <c r="H2" s="45">
        <f t="shared" ref="H2:I2" si="1">D2-F2</f>
        <v>8333.333333</v>
      </c>
      <c r="I2" s="45">
        <f t="shared" si="1"/>
        <v>3333.333333</v>
      </c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12" t="s">
        <v>13</v>
      </c>
      <c r="B3" s="13">
        <f>IFERROR(__xludf.DUMMYFUNCTION("IMPORTRANGE(""https://docs.google.com/spreadsheets/d/1zA5LDh046PMNVU8ONXHA9gKBkE8m_N5laGAT0t2JyUg/edit?usp=sharing"",""Perf_agents!B10"")"),1.0)</f>
        <v>1</v>
      </c>
      <c r="C3" s="13">
        <f>IFERROR(__xludf.DUMMYFUNCTION("IMPORTRANGE(""https://docs.google.com/spreadsheets/d/1zA5LDh046PMNVU8ONXHA9gKBkE8m_N5laGAT0t2JyUg/edit?usp=sharing"",""Perf_agents!B27"")"),3.0)</f>
        <v>3</v>
      </c>
      <c r="D3" s="45">
        <f>IFERROR(__xludf.DUMMYFUNCTION("IMPORTRANGE(""https://docs.google.com/spreadsheets/d/1zA5LDh046PMNVU8ONXHA9gKBkE8m_N5laGAT0t2JyUg/edit?usp=sharing"",""Perf_agents!C10"")"),6666.666666666667)</f>
        <v>6666.666667</v>
      </c>
      <c r="E3" s="45">
        <f>IFERROR(__xludf.DUMMYFUNCTION("IMPORTRANGE(""https://docs.google.com/spreadsheets/d/1zA5LDh046PMNVU8ONXHA9gKBkE8m_N5laGAT0t2JyUg/edit?usp=sharing"",""Perf_agents!C27"")"),22500.0)</f>
        <v>22500</v>
      </c>
      <c r="F3" s="11">
        <f>IFERROR(__xludf.DUMMYFUNCTION("IMPORTRANGE(""https://docs.google.com/spreadsheets/d/1zA5LDh046PMNVU8ONXHA9gKBkE8m_N5laGAT0t2JyUg/edit?usp=sharing"",""Perf_agents!D9"")"),0.0)</f>
        <v>0</v>
      </c>
      <c r="G3" s="45">
        <f>IFERROR(__xludf.DUMMYFUNCTION("IMPORTRANGE(""https://docs.google.com/spreadsheets/d/1zA5LDh046PMNVU8ONXHA9gKBkE8m_N5laGAT0t2JyUg/edit?usp=sharing"",""Perf_agents!D27"")"),13500.0)</f>
        <v>13500</v>
      </c>
      <c r="H3" s="45">
        <f t="shared" ref="H3:I3" si="2">D3-F3</f>
        <v>6666.666667</v>
      </c>
      <c r="I3" s="45">
        <f t="shared" si="2"/>
        <v>9000</v>
      </c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12" t="s">
        <v>14</v>
      </c>
      <c r="B4" s="13">
        <f>IFERROR(__xludf.DUMMYFUNCTION("IMPORTRANGE(""https://docs.google.com/spreadsheets/d/1zA5LDh046PMNVU8ONXHA9gKBkE8m_N5laGAT0t2JyUg/edit?usp=sharing"",""Perf_agents!B11"")"),4.0)</f>
        <v>4</v>
      </c>
      <c r="C4" s="13">
        <f>IFERROR(__xludf.DUMMYFUNCTION("IMPORTRANGE(""https://docs.google.com/spreadsheets/d/1zA5LDh046PMNVU8ONXHA9gKBkE8m_N5laGAT0t2JyUg/edit?usp=sharing"",""Perf_agents!B28"")"),2.0)</f>
        <v>2</v>
      </c>
      <c r="D4" s="45">
        <f>IFERROR(__xludf.DUMMYFUNCTION("IMPORTRANGE(""https://docs.google.com/spreadsheets/d/1zA5LDh046PMNVU8ONXHA9gKBkE8m_N5laGAT0t2JyUg/edit?usp=sharing"",""Perf_agents!C11"")"),17916.663333333334)</f>
        <v>17916.66333</v>
      </c>
      <c r="E4" s="45">
        <f>IFERROR(__xludf.DUMMYFUNCTION("IMPORTRANGE(""https://docs.google.com/spreadsheets/d/1zA5LDh046PMNVU8ONXHA9gKBkE8m_N5laGAT0t2JyUg/edit?usp=sharing"",""Perf_agents!C28"")"),10833.333333333334)</f>
        <v>10833.33333</v>
      </c>
      <c r="F4" s="11">
        <f>IFERROR(__xludf.DUMMYFUNCTION("IMPORTRANGE(""https://docs.google.com/spreadsheets/d/1zA5LDh046PMNVU8ONXHA9gKBkE8m_N5laGAT0t2JyUg/edit?usp=sharing"",""Perf_agents!D9"")"),0.0)</f>
        <v>0</v>
      </c>
      <c r="G4" s="11">
        <f>IFERROR(__xludf.DUMMYFUNCTION("IMPORTRANGE(""https://docs.google.com/spreadsheets/d/1zA5LDh046PMNVU8ONXHA9gKBkE8m_N5laGAT0t2JyUg/edit?usp=sharing"",""Perf_agents!D28"")"),6500.0)</f>
        <v>6500</v>
      </c>
      <c r="H4" s="45">
        <f t="shared" ref="H4:I4" si="3">D4-F4</f>
        <v>17916.66333</v>
      </c>
      <c r="I4" s="45">
        <f t="shared" si="3"/>
        <v>4333.333333</v>
      </c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12" t="s">
        <v>15</v>
      </c>
      <c r="B5" s="13">
        <f>IFERROR(__xludf.DUMMYFUNCTION("IMPORTRANGE(""https://docs.google.com/spreadsheets/d/1zA5LDh046PMNVU8ONXHA9gKBkE8m_N5laGAT0t2JyUg/edit?usp=sharing"",""Perf_agents!B12"")"),1.0)</f>
        <v>1</v>
      </c>
      <c r="C5" s="13">
        <f>IFERROR(__xludf.DUMMYFUNCTION("IMPORTRANGE(""https://docs.google.com/spreadsheets/d/1zA5LDh046PMNVU8ONXHA9gKBkE8m_N5laGAT0t2JyUg/edit?usp=sharing"",""Perf_agents!B29"")"),2.0)</f>
        <v>2</v>
      </c>
      <c r="D5" s="45">
        <f>IFERROR(__xludf.DUMMYFUNCTION("IMPORTRANGE(""https://docs.google.com/spreadsheets/d/1zA5LDh046PMNVU8ONXHA9gKBkE8m_N5laGAT0t2JyUg/edit?usp=sharing"",""Perf_agents!C12"")"),4050.0)</f>
        <v>4050</v>
      </c>
      <c r="E5" s="45">
        <f>IFERROR(__xludf.DUMMYFUNCTION("IMPORTRANGE(""https://docs.google.com/spreadsheets/d/1zA5LDh046PMNVU8ONXHA9gKBkE8m_N5laGAT0t2JyUg/edit?usp=sharing"",""Perf_agents!C29"")"),18333.333333333336)</f>
        <v>18333.33333</v>
      </c>
      <c r="F5" s="11">
        <f>IFERROR(__xludf.DUMMYFUNCTION("IMPORTRANGE(""https://docs.google.com/spreadsheets/d/1zA5LDh046PMNVU8ONXHA9gKBkE8m_N5laGAT0t2JyUg/edit?usp=sharing"",""Perf_agents!D9"")"),0.0)</f>
        <v>0</v>
      </c>
      <c r="G5" s="11">
        <f>IFERROR(__xludf.DUMMYFUNCTION("IMPORTRANGE(""https://docs.google.com/spreadsheets/d/1zA5LDh046PMNVU8ONXHA9gKBkE8m_N5laGAT0t2JyUg/edit?usp=sharing"",""Perf_agents!D29"")"),11000.0)</f>
        <v>11000</v>
      </c>
      <c r="H5" s="45">
        <f t="shared" ref="H5:I5" si="4">D5-F5</f>
        <v>4050</v>
      </c>
      <c r="I5" s="45">
        <f t="shared" si="4"/>
        <v>7333.333333</v>
      </c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12" t="s">
        <v>16</v>
      </c>
      <c r="B6" s="13">
        <f>IFERROR(__xludf.DUMMYFUNCTION("IMPORTRANGE(""https://docs.google.com/spreadsheets/d/1zA5LDh046PMNVU8ONXHA9gKBkE8m_N5laGAT0t2JyUg/edit?usp=sharing"",""Perf_agents!B13"")"),2.0)</f>
        <v>2</v>
      </c>
      <c r="C6" s="13">
        <f>IFERROR(__xludf.DUMMYFUNCTION("IMPORTRANGE(""https://docs.google.com/spreadsheets/d/1zA5LDh046PMNVU8ONXHA9gKBkE8m_N5laGAT0t2JyUg/edit?usp=sharing"",""Perf_agents!B30"")"),0.0)</f>
        <v>0</v>
      </c>
      <c r="D6" s="45">
        <f>IFERROR(__xludf.DUMMYFUNCTION("IMPORTRANGE(""https://docs.google.com/spreadsheets/d/1zA5LDh046PMNVU8ONXHA9gKBkE8m_N5laGAT0t2JyUg/edit?usp=sharing"",""Perf_agents!C13"")"),12500.0)</f>
        <v>12500</v>
      </c>
      <c r="E6" s="45">
        <f>IFERROR(__xludf.DUMMYFUNCTION("IMPORTRANGE(""https://docs.google.com/spreadsheets/d/1zA5LDh046PMNVU8ONXHA9gKBkE8m_N5laGAT0t2JyUg/edit?usp=sharing"",""Perf_agents!C30"")"),0.0)</f>
        <v>0</v>
      </c>
      <c r="F6" s="11">
        <f>IFERROR(__xludf.DUMMYFUNCTION("IMPORTRANGE(""https://docs.google.com/spreadsheets/d/1zA5LDh046PMNVU8ONXHA9gKBkE8m_N5laGAT0t2JyUg/edit?usp=sharing"",""Perf_agents!D9"")"),0.0)</f>
        <v>0</v>
      </c>
      <c r="G6" s="11">
        <f>IFERROR(__xludf.DUMMYFUNCTION("IMPORTRANGE(""https://docs.google.com/spreadsheets/d/1zA5LDh046PMNVU8ONXHA9gKBkE8m_N5laGAT0t2JyUg/edit?usp=sharing"",""Perf_agents!D30"")"),0.0)</f>
        <v>0</v>
      </c>
      <c r="H6" s="45">
        <f t="shared" ref="H6:I6" si="5">D6-F6</f>
        <v>12500</v>
      </c>
      <c r="I6" s="45">
        <f t="shared" si="5"/>
        <v>0</v>
      </c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12" t="s">
        <v>17</v>
      </c>
      <c r="B7" s="13">
        <f>IFERROR(__xludf.DUMMYFUNCTION("IMPORTRANGE(""https://docs.google.com/spreadsheets/d/1zA5LDh046PMNVU8ONXHA9gKBkE8m_N5laGAT0t2JyUg/edit?usp=sharing"",""Perf_agents!B14"")"),2.0)</f>
        <v>2</v>
      </c>
      <c r="C7" s="13">
        <f>IFERROR(__xludf.DUMMYFUNCTION("IMPORTRANGE(""https://docs.google.com/spreadsheets/d/1zA5LDh046PMNVU8ONXHA9gKBkE8m_N5laGAT0t2JyUg/edit?usp=sharing"",""Perf_agents!B31"")"),3.0)</f>
        <v>3</v>
      </c>
      <c r="D7" s="45">
        <f>IFERROR(__xludf.DUMMYFUNCTION("IMPORTRANGE(""https://docs.google.com/spreadsheets/d/1zA5LDh046PMNVU8ONXHA9gKBkE8m_N5laGAT0t2JyUg/edit?usp=sharing"",""Perf_agents!C14"")"),15000.000000000002)</f>
        <v>15000</v>
      </c>
      <c r="E7" s="45">
        <f>IFERROR(__xludf.DUMMYFUNCTION("IMPORTRANGE(""https://docs.google.com/spreadsheets/d/1zA5LDh046PMNVU8ONXHA9gKBkE8m_N5laGAT0t2JyUg/edit?usp=sharing"",""Perf_agents!C31"")"),22500.0)</f>
        <v>22500</v>
      </c>
      <c r="F7" s="11">
        <f>IFERROR(__xludf.DUMMYFUNCTION("IMPORTRANGE(""https://docs.google.com/spreadsheets/d/1zA5LDh046PMNVU8ONXHA9gKBkE8m_N5laGAT0t2JyUg/edit?usp=sharing"",""Perf_agents!D9"")"),0.0)</f>
        <v>0</v>
      </c>
      <c r="G7" s="11">
        <f>IFERROR(__xludf.DUMMYFUNCTION("IMPORTRANGE(""https://docs.google.com/spreadsheets/d/1zA5LDh046PMNVU8ONXHA9gKBkE8m_N5laGAT0t2JyUg/edit?usp=sharing"",""Perf_agents!D31"")"),13500.0)</f>
        <v>13500</v>
      </c>
      <c r="H7" s="45">
        <f t="shared" ref="H7:I7" si="6">D7-F7</f>
        <v>15000</v>
      </c>
      <c r="I7" s="45">
        <f t="shared" si="6"/>
        <v>9000</v>
      </c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12" t="s">
        <v>18</v>
      </c>
      <c r="B8" s="13">
        <f>IFERROR(__xludf.DUMMYFUNCTION("IMPORTRANGE(""https://docs.google.com/spreadsheets/d/1zA5LDh046PMNVU8ONXHA9gKBkE8m_N5laGAT0t2JyUg/edit?usp=sharing"",""Perf_agents!B15"")"),5.0)</f>
        <v>5</v>
      </c>
      <c r="C8" s="13">
        <f>IFERROR(__xludf.DUMMYFUNCTION("IMPORTRANGE(""https://docs.google.com/spreadsheets/d/1zA5LDh046PMNVU8ONXHA9gKBkE8m_N5laGAT0t2JyUg/edit?usp=sharing"",""Perf_agents!B32"")"),1.0)</f>
        <v>1</v>
      </c>
      <c r="D8" s="45">
        <f>IFERROR(__xludf.DUMMYFUNCTION("IMPORTRANGE(""https://docs.google.com/spreadsheets/d/1zA5LDh046PMNVU8ONXHA9gKBkE8m_N5laGAT0t2JyUg/edit?usp=sharing"",""Perf_agents!C15"")"),70833.33333333333)</f>
        <v>70833.33333</v>
      </c>
      <c r="E8" s="45">
        <f>IFERROR(__xludf.DUMMYFUNCTION("IMPORTRANGE(""https://docs.google.com/spreadsheets/d/1zA5LDh046PMNVU8ONXHA9gKBkE8m_N5laGAT0t2JyUg/edit?usp=sharing"",""Perf_agents!C32"")"),4000.0)</f>
        <v>4000</v>
      </c>
      <c r="F8" s="11">
        <f>IFERROR(__xludf.DUMMYFUNCTION("IMPORTRANGE(""https://docs.google.com/spreadsheets/d/1zA5LDh046PMNVU8ONXHA9gKBkE8m_N5laGAT0t2JyUg/edit?usp=sharing"",""Perf_agents!D9"")"),0.0)</f>
        <v>0</v>
      </c>
      <c r="G8" s="11">
        <f>IFERROR(__xludf.DUMMYFUNCTION("IMPORTRANGE(""https://docs.google.com/spreadsheets/d/1zA5LDh046PMNVU8ONXHA9gKBkE8m_N5laGAT0t2JyUg/edit?usp=sharing"",""Perf_agents!D32"")"),2400.0)</f>
        <v>2400</v>
      </c>
      <c r="H8" s="45">
        <f t="shared" ref="H8:I8" si="7">D8-F8</f>
        <v>70833.33333</v>
      </c>
      <c r="I8" s="45">
        <f t="shared" si="7"/>
        <v>1600</v>
      </c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12" t="s">
        <v>19</v>
      </c>
      <c r="B9" s="13">
        <f>IFERROR(__xludf.DUMMYFUNCTION("IMPORTRANGE(""https://docs.google.com/spreadsheets/d/1zA5LDh046PMNVU8ONXHA9gKBkE8m_N5laGAT0t2JyUg/edit?usp=sharing"",""Perf_agents!B16"")"),2.0)</f>
        <v>2</v>
      </c>
      <c r="C9" s="13">
        <f>IFERROR(__xludf.DUMMYFUNCTION("IMPORTRANGE(""https://docs.google.com/spreadsheets/d/1zA5LDh046PMNVU8ONXHA9gKBkE8m_N5laGAT0t2JyUg/edit?usp=sharing"",""Perf_agents!B33"")"),2.0)</f>
        <v>2</v>
      </c>
      <c r="D9" s="45">
        <f>IFERROR(__xludf.DUMMYFUNCTION("IMPORTRANGE(""https://docs.google.com/spreadsheets/d/1zA5LDh046PMNVU8ONXHA9gKBkE8m_N5laGAT0t2JyUg/edit?usp=sharing"",""Perf_agents!C16"")"),14166.666666666668)</f>
        <v>14166.66667</v>
      </c>
      <c r="E9" s="45">
        <f>IFERROR(__xludf.DUMMYFUNCTION("IMPORTRANGE(""https://docs.google.com/spreadsheets/d/1zA5LDh046PMNVU8ONXHA9gKBkE8m_N5laGAT0t2JyUg/edit?usp=sharing"",""Perf_agents!C33"")"),19166.666666666668)</f>
        <v>19166.66667</v>
      </c>
      <c r="F9" s="11">
        <f>IFERROR(__xludf.DUMMYFUNCTION("IMPORTRANGE(""https://docs.google.com/spreadsheets/d/1zA5LDh046PMNVU8ONXHA9gKBkE8m_N5laGAT0t2JyUg/edit?usp=sharing"",""Perf_agents!D9"")"),0.0)</f>
        <v>0</v>
      </c>
      <c r="G9" s="11">
        <f>IFERROR(__xludf.DUMMYFUNCTION("IMPORTRANGE(""https://docs.google.com/spreadsheets/d/1zA5LDh046PMNVU8ONXHA9gKBkE8m_N5laGAT0t2JyUg/edit?usp=sharing"",""Perf_agents!D33"")"),11500.0)</f>
        <v>11500</v>
      </c>
      <c r="H9" s="45">
        <f t="shared" ref="H9:I9" si="8">D9-F9</f>
        <v>14166.66667</v>
      </c>
      <c r="I9" s="45">
        <f t="shared" si="8"/>
        <v>7666.666667</v>
      </c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12" t="s">
        <v>20</v>
      </c>
      <c r="B10" s="13">
        <f>IFERROR(__xludf.DUMMYFUNCTION("IMPORTRANGE(""https://docs.google.com/spreadsheets/d/1zA5LDh046PMNVU8ONXHA9gKBkE8m_N5laGAT0t2JyUg/edit?usp=sharing"",""Perf_agents!B17"")"),0.0)</f>
        <v>0</v>
      </c>
      <c r="C10" s="13">
        <f>IFERROR(__xludf.DUMMYFUNCTION("IMPORTRANGE(""https://docs.google.com/spreadsheets/d/1zA5LDh046PMNVU8ONXHA9gKBkE8m_N5laGAT0t2JyUg/edit?usp=sharing"",""Perf_agents!B34"")"),2.0)</f>
        <v>2</v>
      </c>
      <c r="D10" s="45">
        <f>IFERROR(__xludf.DUMMYFUNCTION("IMPORTRANGE(""https://docs.google.com/spreadsheets/d/1zA5LDh046PMNVU8ONXHA9gKBkE8m_N5laGAT0t2JyUg/edit?usp=sharing"",""Perf_agents!C17"")"),0.0)</f>
        <v>0</v>
      </c>
      <c r="E10" s="45">
        <f>IFERROR(__xludf.DUMMYFUNCTION("IMPORTRANGE(""https://docs.google.com/spreadsheets/d/1zA5LDh046PMNVU8ONXHA9gKBkE8m_N5laGAT0t2JyUg/edit?usp=sharing"",""Perf_agents!C34"")"),16666.666666666668)</f>
        <v>16666.66667</v>
      </c>
      <c r="F10" s="11">
        <f>IFERROR(__xludf.DUMMYFUNCTION("IMPORTRANGE(""https://docs.google.com/spreadsheets/d/1zA5LDh046PMNVU8ONXHA9gKBkE8m_N5laGAT0t2JyUg/edit?usp=sharing"",""Perf_agents!D9"")"),0.0)</f>
        <v>0</v>
      </c>
      <c r="G10" s="11">
        <f>IFERROR(__xludf.DUMMYFUNCTION("IMPORTRANGE(""https://docs.google.com/spreadsheets/d/1zA5LDh046PMNVU8ONXHA9gKBkE8m_N5laGAT0t2JyUg/edit?usp=sharing"",""Perf_agents!D34"")"),10000.0)</f>
        <v>10000</v>
      </c>
      <c r="H10" s="45">
        <f t="shared" ref="H10:I10" si="9">D10-F10</f>
        <v>0</v>
      </c>
      <c r="I10" s="45">
        <f t="shared" si="9"/>
        <v>6666.666667</v>
      </c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12" t="s">
        <v>21</v>
      </c>
      <c r="B11" s="13">
        <f>IFERROR(__xludf.DUMMYFUNCTION("IMPORTRANGE(""https://docs.google.com/spreadsheets/d/1zA5LDh046PMNVU8ONXHA9gKBkE8m_N5laGAT0t2JyUg/edit?usp=sharing"",""Perf_agents!B18"")"),3.0)</f>
        <v>3</v>
      </c>
      <c r="C11" s="13">
        <f>IFERROR(__xludf.DUMMYFUNCTION("IMPORTRANGE(""https://docs.google.com/spreadsheets/d/1zA5LDh046PMNVU8ONXHA9gKBkE8m_N5laGAT0t2JyUg/edit?usp=sharing"",""Perf_agents!B35"")"),2.0)</f>
        <v>2</v>
      </c>
      <c r="D11" s="45">
        <f>IFERROR(__xludf.DUMMYFUNCTION("IMPORTRANGE(""https://docs.google.com/spreadsheets/d/1zA5LDh046PMNVU8ONXHA9gKBkE8m_N5laGAT0t2JyUg/edit?usp=sharing"",""Perf_agents!C18"")"),18333.333333333336)</f>
        <v>18333.33333</v>
      </c>
      <c r="E11" s="45">
        <f>IFERROR(__xludf.DUMMYFUNCTION("IMPORTRANGE(""https://docs.google.com/spreadsheets/d/1zA5LDh046PMNVU8ONXHA9gKBkE8m_N5laGAT0t2JyUg/edit?usp=sharing"",""Perf_agents!C35"")"),17500.0)</f>
        <v>17500</v>
      </c>
      <c r="F11" s="11">
        <f>IFERROR(__xludf.DUMMYFUNCTION("IMPORTRANGE(""https://docs.google.com/spreadsheets/d/1zA5LDh046PMNVU8ONXHA9gKBkE8m_N5laGAT0t2JyUg/edit?usp=sharing"",""Perf_agents!D9"")"),0.0)</f>
        <v>0</v>
      </c>
      <c r="G11" s="11">
        <f>IFERROR(__xludf.DUMMYFUNCTION("IMPORTRANGE(""https://docs.google.com/spreadsheets/d/1zA5LDh046PMNVU8ONXHA9gKBkE8m_N5laGAT0t2JyUg/edit?usp=sharing"",""Perf_agents!D35"")"),10500.0)</f>
        <v>10500</v>
      </c>
      <c r="H11" s="45">
        <f t="shared" ref="H11:I11" si="10">D11-F11</f>
        <v>18333.33333</v>
      </c>
      <c r="I11" s="45">
        <f t="shared" si="10"/>
        <v>7000</v>
      </c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12" t="s">
        <v>22</v>
      </c>
      <c r="B12" s="13">
        <f>IFERROR(__xludf.DUMMYFUNCTION("IMPORTRANGE(""https://docs.google.com/spreadsheets/d/1zA5LDh046PMNVU8ONXHA9gKBkE8m_N5laGAT0t2JyUg/edit?usp=sharing"",""Perf_agents!B19"")"),2.0)</f>
        <v>2</v>
      </c>
      <c r="C12" s="13">
        <f>IFERROR(__xludf.DUMMYFUNCTION("IMPORTRANGE(""https://docs.google.com/spreadsheets/d/1zA5LDh046PMNVU8ONXHA9gKBkE8m_N5laGAT0t2JyUg/edit?usp=sharing"",""Perf_agents!B36"")"),0.0)</f>
        <v>0</v>
      </c>
      <c r="D12" s="45">
        <f>IFERROR(__xludf.DUMMYFUNCTION("IMPORTRANGE(""https://docs.google.com/spreadsheets/d/1zA5LDh046PMNVU8ONXHA9gKBkE8m_N5laGAT0t2JyUg/edit?usp=sharing"",""Perf_agents!C19"")"),15000.0)</f>
        <v>15000</v>
      </c>
      <c r="E12" s="45">
        <f>IFERROR(__xludf.DUMMYFUNCTION("IMPORTRANGE(""https://docs.google.com/spreadsheets/d/1zA5LDh046PMNVU8ONXHA9gKBkE8m_N5laGAT0t2JyUg/edit?usp=sharing"",""Perf_agents!C36"")"),0.0)</f>
        <v>0</v>
      </c>
      <c r="F12" s="11">
        <f>IFERROR(__xludf.DUMMYFUNCTION("IMPORTRANGE(""https://docs.google.com/spreadsheets/d/1zA5LDh046PMNVU8ONXHA9gKBkE8m_N5laGAT0t2JyUg/edit?usp=sharing"",""Perf_agents!D9"")"),0.0)</f>
        <v>0</v>
      </c>
      <c r="G12" s="11">
        <f>IFERROR(__xludf.DUMMYFUNCTION("IMPORTRANGE(""https://docs.google.com/spreadsheets/d/1zA5LDh046PMNVU8ONXHA9gKBkE8m_N5laGAT0t2JyUg/edit?usp=sharing"",""Perf_agents!D36"")"),0.0)</f>
        <v>0</v>
      </c>
      <c r="H12" s="45">
        <f t="shared" ref="H12:I12" si="11">D12-F12</f>
        <v>15000</v>
      </c>
      <c r="I12" s="45">
        <f t="shared" si="11"/>
        <v>0</v>
      </c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12" t="s">
        <v>23</v>
      </c>
      <c r="B13" s="13">
        <f>IFERROR(__xludf.DUMMYFUNCTION("IMPORTRANGE(""https://docs.google.com/spreadsheets/d/1zA5LDh046PMNVU8ONXHA9gKBkE8m_N5laGAT0t2JyUg/edit?usp=sharing"",""Perf_agents!B20"")"),3.0)</f>
        <v>3</v>
      </c>
      <c r="C13" s="13">
        <f>IFERROR(__xludf.DUMMYFUNCTION("IMPORTRANGE(""https://docs.google.com/spreadsheets/d/1zA5LDh046PMNVU8ONXHA9gKBkE8m_N5laGAT0t2JyUg/edit?usp=sharing"",""Perf_agents!B37"")"),1.0)</f>
        <v>1</v>
      </c>
      <c r="D13" s="45">
        <f>IFERROR(__xludf.DUMMYFUNCTION("IMPORTRANGE(""https://docs.google.com/spreadsheets/d/1zA5LDh046PMNVU8ONXHA9gKBkE8m_N5laGAT0t2JyUg/edit?usp=sharing"",""Perf_agents!C20"")"),24166.666666666668)</f>
        <v>24166.66667</v>
      </c>
      <c r="E13" s="45">
        <f>IFERROR(__xludf.DUMMYFUNCTION("IMPORTRANGE(""https://docs.google.com/spreadsheets/d/1zA5LDh046PMNVU8ONXHA9gKBkE8m_N5laGAT0t2JyUg/edit?usp=sharing"",""Perf_agents!C37"")"),5833.333333333334)</f>
        <v>5833.333333</v>
      </c>
      <c r="F13" s="11">
        <f>IFERROR(__xludf.DUMMYFUNCTION("IMPORTRANGE(""https://docs.google.com/spreadsheets/d/1zA5LDh046PMNVU8ONXHA9gKBkE8m_N5laGAT0t2JyUg/edit?usp=sharing"",""Perf_agents!D9"")"),0.0)</f>
        <v>0</v>
      </c>
      <c r="G13" s="11">
        <f>IFERROR(__xludf.DUMMYFUNCTION("IMPORTRANGE(""https://docs.google.com/spreadsheets/d/1zA5LDh046PMNVU8ONXHA9gKBkE8m_N5laGAT0t2JyUg/edit?usp=sharing"",""Perf_agents!D37"")"),3500.0000000000005)</f>
        <v>3500</v>
      </c>
      <c r="H13" s="45">
        <f t="shared" ref="H13:I13" si="12">D13-F13</f>
        <v>24166.66667</v>
      </c>
      <c r="I13" s="45">
        <f t="shared" si="12"/>
        <v>2333.333333</v>
      </c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12"/>
      <c r="B14" s="13"/>
      <c r="C14" s="13"/>
      <c r="D14" s="45"/>
      <c r="E14" s="45"/>
      <c r="F14" s="11"/>
      <c r="G14" s="45"/>
      <c r="H14" s="45"/>
      <c r="I14" s="45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19"/>
      <c r="B17" s="2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19"/>
      <c r="B18" s="2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24</v>
      </c>
      <c r="B1" s="9" t="s">
        <v>75</v>
      </c>
      <c r="C1" s="9" t="s">
        <v>76</v>
      </c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21">
        <v>2021.0</v>
      </c>
      <c r="B2" s="22">
        <v>13.0</v>
      </c>
      <c r="C2" s="22">
        <v>14.0</v>
      </c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21">
        <v>2022.0</v>
      </c>
      <c r="B3" s="22">
        <v>20.0</v>
      </c>
      <c r="C3" s="22">
        <v>26.0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21">
        <v>2023.0</v>
      </c>
      <c r="B4" s="22">
        <v>26.0</v>
      </c>
      <c r="C4" s="22">
        <v>32.0</v>
      </c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23"/>
      <c r="B5" s="13"/>
      <c r="C5" s="13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12"/>
      <c r="B6" s="13"/>
      <c r="C6" s="13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12"/>
      <c r="B7" s="13"/>
      <c r="C7" s="13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12"/>
      <c r="B8" s="13"/>
      <c r="C8" s="13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12"/>
      <c r="B9" s="13"/>
      <c r="C9" s="13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12"/>
      <c r="B10" s="13"/>
      <c r="C10" s="13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12"/>
      <c r="B11" s="13"/>
      <c r="C11" s="13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12"/>
      <c r="B12" s="13"/>
      <c r="C12" s="13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12"/>
      <c r="B13" s="17"/>
      <c r="C13" s="18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19"/>
      <c r="B16" s="2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19"/>
      <c r="B17" s="2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</sheetData>
  <drawing r:id="rId2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24</v>
      </c>
      <c r="B1" s="9" t="s">
        <v>75</v>
      </c>
      <c r="C1" s="9" t="s">
        <v>76</v>
      </c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21">
        <v>2021.0</v>
      </c>
      <c r="B2" s="22">
        <v>20.0</v>
      </c>
      <c r="C2" s="22">
        <v>20.0</v>
      </c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21">
        <v>2022.0</v>
      </c>
      <c r="B3" s="22">
        <v>13.0</v>
      </c>
      <c r="C3" s="22">
        <v>19.0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21">
        <v>2023.0</v>
      </c>
      <c r="B4" s="22">
        <v>19.0</v>
      </c>
      <c r="C4" s="22">
        <v>14.0</v>
      </c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23"/>
      <c r="B5" s="13"/>
      <c r="C5" s="13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12"/>
      <c r="B6" s="13"/>
      <c r="C6" s="13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12"/>
      <c r="B7" s="13"/>
      <c r="C7" s="13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12"/>
      <c r="B8" s="13"/>
      <c r="C8" s="13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12"/>
      <c r="B9" s="13"/>
      <c r="C9" s="13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12"/>
      <c r="B10" s="13"/>
      <c r="C10" s="13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12"/>
      <c r="B11" s="13"/>
      <c r="C11" s="13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12"/>
      <c r="B12" s="13"/>
      <c r="C12" s="13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12"/>
      <c r="B13" s="17"/>
      <c r="C13" s="18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19"/>
      <c r="B16" s="2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19"/>
      <c r="B17" s="2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</v>
      </c>
      <c r="B1" s="1" t="s">
        <v>1</v>
      </c>
      <c r="C1" s="5"/>
      <c r="D1" s="5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46" t="s">
        <v>77</v>
      </c>
      <c r="B2" s="22">
        <v>19.0</v>
      </c>
      <c r="C2" s="5"/>
      <c r="D2" s="26"/>
      <c r="E2" s="10"/>
      <c r="F2" s="10"/>
      <c r="G2" s="16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46" t="s">
        <v>78</v>
      </c>
      <c r="B3" s="22">
        <v>7.0</v>
      </c>
      <c r="C3" s="5"/>
      <c r="D3" s="26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46" t="s">
        <v>79</v>
      </c>
      <c r="B4" s="22">
        <v>3.0</v>
      </c>
      <c r="C4" s="5"/>
      <c r="D4" s="26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46" t="s">
        <v>80</v>
      </c>
      <c r="B5" s="5">
        <v>3.0</v>
      </c>
      <c r="C5" s="5"/>
      <c r="D5" s="26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12"/>
      <c r="B6" s="13"/>
      <c r="C6" s="13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12"/>
      <c r="B7" s="13"/>
      <c r="C7" s="13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12"/>
      <c r="B8" s="13"/>
      <c r="C8" s="13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12"/>
      <c r="B9" s="13"/>
      <c r="C9" s="13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12"/>
      <c r="B10" s="17"/>
      <c r="C10" s="18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19"/>
      <c r="B13" s="2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19"/>
      <c r="B14" s="2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</sheetData>
  <drawing r:id="rId2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</v>
      </c>
      <c r="B1" s="1" t="s">
        <v>1</v>
      </c>
      <c r="C1" s="5"/>
      <c r="D1" s="5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46" t="s">
        <v>81</v>
      </c>
      <c r="B2" s="22">
        <v>10.0</v>
      </c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46" t="s">
        <v>82</v>
      </c>
      <c r="B3" s="22">
        <v>7.0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46" t="s">
        <v>83</v>
      </c>
      <c r="B4" s="22">
        <v>1.0</v>
      </c>
      <c r="C4" s="13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46" t="s">
        <v>84</v>
      </c>
      <c r="B5" s="22">
        <v>1.0</v>
      </c>
      <c r="C5" s="13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46" t="s">
        <v>85</v>
      </c>
      <c r="B6" s="22">
        <v>1.0</v>
      </c>
      <c r="C6" s="13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46" t="s">
        <v>86</v>
      </c>
      <c r="B7" s="22">
        <v>0.0</v>
      </c>
      <c r="C7" s="13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12"/>
      <c r="B8" s="13"/>
      <c r="C8" s="13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12"/>
      <c r="B9" s="13"/>
      <c r="C9" s="13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12"/>
      <c r="B10" s="13"/>
      <c r="C10" s="13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12"/>
      <c r="B11" s="13"/>
      <c r="C11" s="13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12"/>
      <c r="B12" s="17"/>
      <c r="C12" s="18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19"/>
      <c r="B15" s="2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19"/>
      <c r="B16" s="2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</v>
      </c>
      <c r="B1" s="1" t="s">
        <v>1</v>
      </c>
      <c r="C1" s="5"/>
      <c r="D1" s="5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46" t="s">
        <v>87</v>
      </c>
      <c r="B2" s="22" t="str">
        <f>IFERROR(__xludf.DUMMYFUNCTION("IMPORTRANGE(""https://docs.google.com/spreadsheets/d/1zA5LDh046PMNVU8ONXHA9gKBkE8m_N5laGAT0t2JyUg/edit?usp=sharing"",""Ventes RESIDE 2023!J75"")"),"#REF!")</f>
        <v>#REF!</v>
      </c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46" t="s">
        <v>88</v>
      </c>
      <c r="B3" s="22" t="str">
        <f>IFERROR(__xludf.DUMMYFUNCTION("IMPORTRANGE(""https://docs.google.com/spreadsheets/d/1zA5LDh046PMNVU8ONXHA9gKBkE8m_N5laGAT0t2JyUg/edit?usp=sharing"",""Ventes RESIDE 2023!J77"")"),"#REF!")</f>
        <v>#REF!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46" t="s">
        <v>89</v>
      </c>
      <c r="B4" s="22"/>
      <c r="C4" s="13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46" t="s">
        <v>90</v>
      </c>
      <c r="B5" s="22" t="str">
        <f>IFERROR(__xludf.DUMMYFUNCTION("IMPORTRANGE(""https://docs.google.com/spreadsheets/d/1zA5LDh046PMNVU8ONXHA9gKBkE8m_N5laGAT0t2JyUg/edit?usp=sharing"",""Ventes RESIDE 2023!J76"")"),"#REF!")</f>
        <v>#REF!</v>
      </c>
      <c r="C5" s="13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46" t="s">
        <v>91</v>
      </c>
      <c r="B6" s="22" t="str">
        <f>IFERROR(__xludf.DUMMYFUNCTION("IMPORTRANGE(""https://docs.google.com/spreadsheets/d/1zA5LDh046PMNVU8ONXHA9gKBkE8m_N5laGAT0t2JyUg/edit?usp=sharing"",""Ventes RESIDE 2023!J78"")"),"#REF!")</f>
        <v>#REF!</v>
      </c>
      <c r="C6" s="13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46" t="s">
        <v>92</v>
      </c>
      <c r="B7" s="22"/>
      <c r="C7" s="13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28"/>
      <c r="B18" s="46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28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25"/>
    <col customWidth="1" min="2" max="2" width="16.5"/>
    <col customWidth="1" min="3" max="3" width="15.88"/>
    <col customWidth="1" min="4" max="8" width="14.5"/>
    <col customWidth="1" min="10" max="11" width="15.13"/>
  </cols>
  <sheetData>
    <row r="1">
      <c r="A1" s="1" t="s">
        <v>5</v>
      </c>
      <c r="B1" s="1" t="s">
        <v>1</v>
      </c>
      <c r="C1" s="1"/>
      <c r="D1" s="1"/>
      <c r="E1" s="1"/>
      <c r="F1" s="1"/>
      <c r="G1" s="2"/>
      <c r="H1" s="2"/>
      <c r="I1" s="2"/>
      <c r="J1" s="1"/>
      <c r="K1" s="1"/>
      <c r="L1" s="1"/>
      <c r="M1" s="3"/>
      <c r="N1" s="3"/>
      <c r="O1" s="3"/>
    </row>
    <row r="2">
      <c r="A2" s="4" t="s">
        <v>2</v>
      </c>
      <c r="B2" s="5">
        <f>IFERROR(__xludf.DUMMYFUNCTION("IMPORTRANGE(""https://docs.google.com/spreadsheets/d/1zA5LDh046PMNVU8ONXHA9gKBkE8m_N5laGAT0t2JyUg/edit?usp=sharing"",""Perf_globales!G3"")"),71666.66666666667)</f>
        <v>71666.66667</v>
      </c>
      <c r="F2" s="4"/>
      <c r="H2" s="6"/>
      <c r="I2" s="6"/>
      <c r="N2" s="6"/>
      <c r="O2" s="6"/>
    </row>
    <row r="3">
      <c r="A3" s="4" t="s">
        <v>3</v>
      </c>
      <c r="B3" s="5">
        <f>IFERROR(__xludf.DUMMYFUNCTION("IMPORTRANGE(""https://docs.google.com/spreadsheets/d/1zA5LDh046PMNVU8ONXHA9gKBkE8m_N5laGAT0t2JyUg/edit?usp=sharing"",""Perf_globales!J3"")"),290133.3299999999)</f>
        <v>290133.33</v>
      </c>
      <c r="D3" s="4"/>
      <c r="F3" s="4"/>
    </row>
    <row r="4">
      <c r="A4" s="4" t="s">
        <v>4</v>
      </c>
      <c r="B4" s="5">
        <f>IFERROR(__xludf.DUMMYFUNCTION("IMPORTRANGE(""https://docs.google.com/spreadsheets/d/1zA5LDh046PMNVU8ONXHA9gKBkE8m_N5laGAT0t2JyUg/edit?usp=sharing"",""Perf_globales!D13"")"),10202.82)</f>
        <v>10202.82</v>
      </c>
      <c r="D4" s="4"/>
      <c r="F4" s="4"/>
    </row>
    <row r="5">
      <c r="A5" s="4" t="s">
        <v>6</v>
      </c>
      <c r="B5" s="5">
        <f>IFERROR(__xludf.DUMMYFUNCTION("IMPORTRANGE(""https://docs.google.com/spreadsheets/d/1zA5LDh046PMNVU8ONXHA9gKBkE8m_N5laGAT0t2JyUg/edit?usp=sharing"",""Perf_globales!M3"")"),41458.333333333336)</f>
        <v>41458.33333</v>
      </c>
      <c r="D5" s="4"/>
      <c r="F5" s="4"/>
    </row>
    <row r="6">
      <c r="A6" s="4" t="s">
        <v>93</v>
      </c>
      <c r="B6" s="5">
        <f>IFERROR(__xludf.DUMMYFUNCTION("IMPORTRANGE(""https://docs.google.com/spreadsheets/d/1zA5LDh046PMNVU8ONXHA9gKBkE8m_N5laGAT0t2JyUg/edit?usp=sharing"",""Perf_globales!B3"")"),372002.8166666666)</f>
        <v>372002.8167</v>
      </c>
      <c r="C6" s="4"/>
      <c r="D6" s="4"/>
      <c r="E6" s="4"/>
    </row>
    <row r="7">
      <c r="A7" s="4" t="s">
        <v>94</v>
      </c>
      <c r="B7" s="6">
        <f>B3+B4+B5</f>
        <v>341794.4833</v>
      </c>
    </row>
    <row r="8">
      <c r="A8" s="4" t="s">
        <v>95</v>
      </c>
      <c r="B8" s="6">
        <f>B2+B3</f>
        <v>361799.9967</v>
      </c>
    </row>
    <row r="9">
      <c r="A9" s="4" t="s">
        <v>96</v>
      </c>
      <c r="B9" s="47">
        <f>((372000-277368)/277368)*100</f>
        <v>34.11785065</v>
      </c>
    </row>
    <row r="10">
      <c r="A10" s="4" t="s">
        <v>27</v>
      </c>
      <c r="B10" s="6">
        <f>IFERROR(__xludf.DUMMYFUNCTION("IMPORTRANGE(""https://docs.google.com/spreadsheets/d/1zA5LDh046PMNVU8ONXHA9gKBkE8m_N5laGAT0t2JyUg/edit?usp=sharing"",""Perf_mois!E15"")"),273208.33)</f>
        <v>273208.33</v>
      </c>
    </row>
    <row r="14">
      <c r="A14" s="48" t="s">
        <v>97</v>
      </c>
      <c r="B14" s="49">
        <f>IFERROR(__xludf.DUMMYFUNCTION("IMPORTRANGE(""https://docs.google.com/spreadsheets/d/1zA5LDh046PMNVU8ONXHA9gKBkE8m_N5laGAT0t2JyUg/edit?usp=sharing"",""Perf_mois!E15"")/IMPORTRANGE(""https://docs.google.com/spreadsheets/d/1zA5LDh046PMNVU8ONXHA9gKBkE8m_N5laGAT0t2JyUg/edit?usp=sharing"","""&amp;"Perf_mois!C15"")*100"),75.51363530047573)</f>
        <v>75.5136353</v>
      </c>
    </row>
    <row r="15">
      <c r="A15" s="48" t="s">
        <v>98</v>
      </c>
      <c r="B15" s="50">
        <f>IFERROR(__xludf.DUMMYFUNCTION("IMPORTRANGE(""https://docs.google.com/spreadsheets/d/1zA5LDh046PMNVU8ONXHA9gKBkE8m_N5laGAT0t2JyUg/edit?usp=sharing"",""Perf_mois!D15"")/IMPORTRANGE(""https://docs.google.com/spreadsheets/d/1zA5LDh046PMNVU8ONXHA9gKBkE8m_N5laGAT0t2JyUg/edit?usp=sharing"","""&amp;"Perf_mois!C15"")*100"),24.48636469952427)</f>
        <v>24.4863647</v>
      </c>
    </row>
    <row r="16">
      <c r="A16" s="48" t="s">
        <v>99</v>
      </c>
      <c r="B16" s="26">
        <f>IFERROR(__xludf.DUMMYFUNCTION("IMPORTRANGE(""https://docs.google.com/spreadsheets/d/1zA5LDh046PMNVU8ONXHA9gKBkE8m_N5laGAT0t2JyUg/edit?usp=sharing"",""Sources_ventes!D2"")"),56.77630326862265)</f>
        <v>56.77630327</v>
      </c>
    </row>
    <row r="17">
      <c r="A17" s="48" t="s">
        <v>100</v>
      </c>
      <c r="B17" s="26">
        <f>IFERROR(__xludf.DUMMYFUNCTION("IMPORTRANGE(""https://docs.google.com/spreadsheets/d/1zA5LDh046PMNVU8ONXHA9gKBkE8m_N5laGAT0t2JyUg/edit?usp=sharing"",""Sources_ventes!D3"")"),11.286161887655812)</f>
        <v>11.28616189</v>
      </c>
      <c r="C17" s="4"/>
      <c r="D17" s="4"/>
      <c r="E17" s="4"/>
    </row>
    <row r="18">
      <c r="A18" s="48" t="s">
        <v>101</v>
      </c>
      <c r="B18" s="26">
        <f>IFERROR(__xludf.DUMMYFUNCTION("IMPORTRANGE(""https://docs.google.com/spreadsheets/d/1zA5LDh046PMNVU8ONXHA9gKBkE8m_N5laGAT0t2JyUg/edit?usp=sharing"",""Sources_ventes!D4"")"),6.44923536437475)</f>
        <v>6.449235364</v>
      </c>
    </row>
    <row r="19">
      <c r="A19" s="48" t="s">
        <v>102</v>
      </c>
      <c r="B19" s="26">
        <f>IFERROR(__xludf.DUMMYFUNCTION("IMPORTRANGE(""https://docs.google.com/spreadsheets/d/1zA5LDh046PMNVU8ONXHA9gKBkE8m_N5laGAT0t2JyUg/edit?usp=sharing"",""Sources_ventes!D5"")"),25.488299479346782)</f>
        <v>25.48829948</v>
      </c>
    </row>
    <row r="20">
      <c r="A20" s="48"/>
    </row>
    <row r="23">
      <c r="A23" s="4" t="s">
        <v>103</v>
      </c>
      <c r="B23" s="6">
        <f>(Data_ventes!C19*Data_commissions!B3)+((Data_ventes!D19*Data_commissions!B3)*0.4)</f>
        <v>243821.7369</v>
      </c>
    </row>
    <row r="24">
      <c r="A24" s="4" t="s">
        <v>104</v>
      </c>
      <c r="B24" s="6">
        <f>Data_depenses!B31/1.2</f>
        <v>217166.6667</v>
      </c>
    </row>
    <row r="25">
      <c r="A25" s="4" t="s">
        <v>105</v>
      </c>
      <c r="B25" s="6">
        <f>B23-B5</f>
        <v>202363.4036</v>
      </c>
    </row>
    <row r="27">
      <c r="A27" s="4" t="s">
        <v>106</v>
      </c>
      <c r="B27" s="6" t="str">
        <f>IFERROR(__xludf.DUMMYFUNCTION("IMPORTRANGE(""https://docs.google.com/spreadsheets/d/19FaQ-n49KvG_bpd6Rh0MfgcMD6HVSCdsRH5fCIUeJXQ/edit?usp=sharing"",""SITUATION_2024!I135"") "),"")</f>
        <v/>
      </c>
      <c r="D27" s="7"/>
    </row>
    <row r="28">
      <c r="A28" s="4" t="s">
        <v>107</v>
      </c>
      <c r="B28" s="6" t="str">
        <f>IFERROR(__xludf.DUMMYFUNCTION("IMPORTRANGE(""https://docs.google.com/spreadsheets/d/19FaQ-n49KvG_bpd6Rh0MfgcMD6HVSCdsRH5fCIUeJXQ/edit?usp=sharing"",""SITUATION_2024!I138"") "),"")</f>
        <v/>
      </c>
    </row>
    <row r="29">
      <c r="A29" s="4" t="s">
        <v>108</v>
      </c>
      <c r="B29" s="5">
        <v>70995.0</v>
      </c>
      <c r="D29" s="7"/>
    </row>
    <row r="30">
      <c r="A30" s="4" t="s">
        <v>109</v>
      </c>
      <c r="B30" s="5">
        <v>13038.0</v>
      </c>
    </row>
  </sheetData>
  <drawing r:id="rId2"/>
  <legacyDrawing r:id="rId3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6.5"/>
    <col customWidth="1" min="3" max="3" width="15.88"/>
    <col customWidth="1" min="4" max="8" width="14.5"/>
    <col customWidth="1" min="10" max="11" width="15.13"/>
  </cols>
  <sheetData>
    <row r="1">
      <c r="A1" s="1" t="s">
        <v>5</v>
      </c>
      <c r="B1" s="1" t="s">
        <v>1</v>
      </c>
      <c r="C1" s="1" t="s">
        <v>110</v>
      </c>
      <c r="D1" s="1" t="s">
        <v>111</v>
      </c>
      <c r="E1" s="1"/>
      <c r="F1" s="1"/>
      <c r="G1" s="2"/>
      <c r="H1" s="2"/>
      <c r="I1" s="2"/>
      <c r="J1" s="1"/>
      <c r="K1" s="1"/>
      <c r="L1" s="1"/>
      <c r="M1" s="3"/>
      <c r="N1" s="3"/>
      <c r="O1" s="3"/>
    </row>
    <row r="2">
      <c r="A2" s="4" t="s">
        <v>10</v>
      </c>
      <c r="B2" s="5">
        <f>IFERROR(__xludf.DUMMYFUNCTION("IMPORTRANGE(""https://docs.google.com/spreadsheets/d/1zA5LDh046PMNVU8ONXHA9gKBkE8m_N5laGAT0t2JyUg/edit?usp=sharing"",""Perf_globales!C3"")"),46.0)</f>
        <v>46</v>
      </c>
    </row>
    <row r="3">
      <c r="A3" s="4" t="s">
        <v>11</v>
      </c>
      <c r="B3" s="4">
        <v>37.0</v>
      </c>
    </row>
    <row r="4">
      <c r="A4" s="4" t="s">
        <v>48</v>
      </c>
      <c r="B4" s="30">
        <f>IFERROR(__xludf.DUMMYFUNCTION("IMPORTRANGE(""https://docs.google.com/spreadsheets/d/1zA5LDh046PMNVU8ONXHA9gKBkE8m_N5laGAT0t2JyUg/edit?usp=sharing"",""Perf_globales!F3"")"),10.0)</f>
        <v>10</v>
      </c>
    </row>
    <row r="5">
      <c r="A5" s="4" t="s">
        <v>49</v>
      </c>
      <c r="B5" s="5">
        <f>IFERROR(__xludf.DUMMYFUNCTION("IMPORTRANGE(""https://docs.google.com/spreadsheets/d/1zA5LDh046PMNVU8ONXHA9gKBkE8m_N5laGAT0t2JyUg/edit?usp=sharing"",""Perf_globales!I3"")"),36.0)</f>
        <v>36</v>
      </c>
      <c r="C5" s="4"/>
      <c r="D5" s="4"/>
      <c r="E5" s="4"/>
    </row>
    <row r="6">
      <c r="A6" s="4" t="s">
        <v>50</v>
      </c>
      <c r="B6" s="30">
        <f>IFERROR(__xludf.DUMMYFUNCTION("IMPORTRANGE(""https://docs.google.com/spreadsheets/d/1zA5LDh046PMNVU8ONXHA9gKBkE8m_N5laGAT0t2JyUg/edit?usp=sharing"",""Perf_globales!L3"")"),7.0)</f>
        <v>7</v>
      </c>
    </row>
    <row r="7">
      <c r="A7" s="4" t="s">
        <v>112</v>
      </c>
      <c r="B7" s="6">
        <f>IFERROR(__xludf.DUMMYFUNCTION("IMPORTRANGE(""https://docs.google.com/spreadsheets/d/1zA5LDh046PMNVU8ONXHA9gKBkE8m_N5laGAT0t2JyUg/edit?usp=sharing"",""Perf_globales!C3"")"),46.0)</f>
        <v>46</v>
      </c>
    </row>
    <row r="8">
      <c r="A8" s="4" t="s">
        <v>51</v>
      </c>
      <c r="B8" s="6">
        <f>IFERROR(__xludf.DUMMYFUNCTION("IMPORTRANGE(""https://docs.google.com/spreadsheets/d/1zA5LDh046PMNVU8ONXHA9gKBkE8m_N5laGAT0t2JyUg/edit?usp=sharing"",""Perf_globales!O3"")"),43.0)</f>
        <v>43</v>
      </c>
    </row>
    <row r="9">
      <c r="A9" s="4" t="s">
        <v>113</v>
      </c>
      <c r="B9" s="47">
        <f>((46-37)/37)*100</f>
        <v>24.32432432</v>
      </c>
    </row>
    <row r="10">
      <c r="A10" s="4" t="s">
        <v>52</v>
      </c>
      <c r="B10" s="4">
        <v>72.0</v>
      </c>
    </row>
    <row r="11">
      <c r="A11" s="4" t="s">
        <v>53</v>
      </c>
      <c r="B11" s="49">
        <f>B8/B10*100</f>
        <v>59.72222222</v>
      </c>
    </row>
    <row r="12">
      <c r="A12" s="4" t="s">
        <v>114</v>
      </c>
      <c r="B12" s="4">
        <v>11.0</v>
      </c>
    </row>
    <row r="13">
      <c r="A13" s="4" t="s">
        <v>115</v>
      </c>
      <c r="B13" s="4">
        <v>2.0</v>
      </c>
    </row>
    <row r="14">
      <c r="A14" s="4" t="s">
        <v>116</v>
      </c>
      <c r="B14" s="4">
        <v>44.0</v>
      </c>
    </row>
    <row r="15">
      <c r="A15" s="4" t="s">
        <v>117</v>
      </c>
      <c r="B15" s="30">
        <f>B10-B14-B13-B12</f>
        <v>15</v>
      </c>
    </row>
    <row r="18">
      <c r="C18" s="4" t="s">
        <v>118</v>
      </c>
      <c r="D18" s="4" t="s">
        <v>119</v>
      </c>
    </row>
    <row r="19">
      <c r="A19" s="4" t="s">
        <v>120</v>
      </c>
      <c r="B19" s="4">
        <v>40.0</v>
      </c>
      <c r="C19" s="4">
        <v>25.0</v>
      </c>
      <c r="D19" s="4">
        <v>15.0</v>
      </c>
    </row>
    <row r="20">
      <c r="A20" s="4" t="s">
        <v>121</v>
      </c>
      <c r="B20" s="6">
        <f>Data_depenses!B31/Data_commissions!B3</f>
        <v>33.13322308</v>
      </c>
    </row>
    <row r="21">
      <c r="A21" s="4" t="s">
        <v>122</v>
      </c>
      <c r="B21" s="30">
        <f>B19-B6</f>
        <v>33</v>
      </c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6.5"/>
    <col customWidth="1" min="3" max="3" width="15.88"/>
    <col customWidth="1" min="4" max="8" width="14.5"/>
    <col customWidth="1" min="10" max="11" width="15.13"/>
  </cols>
  <sheetData>
    <row r="1">
      <c r="A1" s="1" t="s">
        <v>5</v>
      </c>
      <c r="B1" s="1" t="s">
        <v>1</v>
      </c>
      <c r="C1" s="1"/>
      <c r="D1" s="1"/>
      <c r="E1" s="1"/>
      <c r="F1" s="1"/>
      <c r="G1" s="2"/>
      <c r="H1" s="2"/>
      <c r="I1" s="2"/>
      <c r="J1" s="1"/>
      <c r="K1" s="1"/>
      <c r="L1" s="1"/>
      <c r="M1" s="3"/>
      <c r="N1" s="3"/>
      <c r="O1" s="3"/>
    </row>
    <row r="2">
      <c r="A2" s="4" t="s">
        <v>123</v>
      </c>
      <c r="B2" s="5">
        <f>IFERROR(__xludf.DUMMYFUNCTION("IMPORTRANGE(""https://docs.google.com/spreadsheets/d/1zA5LDh046PMNVU8ONXHA9gKBkE8m_N5laGAT0t2JyUg/edit?usp=sharing"",""Perf_mois!D15"")"),88591.66666666666)</f>
        <v>88591.66667</v>
      </c>
    </row>
    <row r="3">
      <c r="A3" s="4" t="s">
        <v>124</v>
      </c>
      <c r="B3" s="6">
        <f>IFERROR(__xludf.DUMMYFUNCTION("IMPORTRANGE(""https://docs.google.com/spreadsheets/d/1zA5LDh046PMNVU8ONXHA9gKBkE8m_N5laGAT0t2JyUg/edit?usp=sharing"",""Perf_globales!A16"")"),7865.217318840578)</f>
        <v>7865.217319</v>
      </c>
    </row>
    <row r="5">
      <c r="B5" s="4"/>
      <c r="C5" s="4"/>
      <c r="D5" s="4"/>
      <c r="E5" s="4"/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0"/>
    <col customWidth="1" min="2" max="2" width="16.5"/>
    <col customWidth="1" min="3" max="4" width="15.88"/>
    <col customWidth="1" min="5" max="9" width="14.5"/>
    <col customWidth="1" min="11" max="12" width="15.13"/>
  </cols>
  <sheetData>
    <row r="1">
      <c r="A1" s="1" t="s">
        <v>5</v>
      </c>
      <c r="B1" s="1" t="s">
        <v>1</v>
      </c>
      <c r="C1" s="1" t="s">
        <v>110</v>
      </c>
      <c r="D1" s="1" t="s">
        <v>111</v>
      </c>
      <c r="E1" s="1" t="s">
        <v>125</v>
      </c>
      <c r="F1" s="1" t="s">
        <v>126</v>
      </c>
      <c r="G1" s="1"/>
      <c r="H1" s="2"/>
      <c r="I1" s="2"/>
      <c r="J1" s="2"/>
      <c r="K1" s="1"/>
      <c r="L1" s="1"/>
      <c r="M1" s="1"/>
      <c r="N1" s="3"/>
      <c r="O1" s="3"/>
      <c r="P1" s="3"/>
    </row>
    <row r="2">
      <c r="A2" s="4" t="s">
        <v>127</v>
      </c>
      <c r="B2" s="13">
        <f>IFERROR(__xludf.DUMMYFUNCTION("IMPORTRANGE(""https://docs.google.com/spreadsheets/d/1zA5LDh046PMNVU8ONXHA9gKBkE8m_N5laGAT0t2JyUg/edit?usp=sharing"",""Depenses_tresorerie!B4"")"),60325.0)</f>
        <v>60325</v>
      </c>
      <c r="C2" s="6"/>
    </row>
    <row r="3">
      <c r="A3" s="4" t="s">
        <v>128</v>
      </c>
      <c r="B3" s="13" t="str">
        <f>IFERROR(__xludf.DUMMYFUNCTION("IMPORTRANGE(""https://docs.google.com/spreadsheets/d/1zA5LDh046PMNVU8ONXHA9gKBkE8m_N5laGAT0t2JyUg/edit?usp=sharing"",""Depenses_tresorerie!N4"")"),"")</f>
        <v/>
      </c>
      <c r="C3" s="6"/>
      <c r="D3" s="7"/>
    </row>
    <row r="4">
      <c r="A4" s="4" t="s">
        <v>129</v>
      </c>
      <c r="B4" s="6">
        <f>B5-B8</f>
        <v>-10812.764</v>
      </c>
      <c r="C4" s="6"/>
    </row>
    <row r="5">
      <c r="A5" s="4" t="s">
        <v>130</v>
      </c>
      <c r="B5" s="13">
        <f>IFERROR(__xludf.DUMMYFUNCTION("IMPORTRANGE(""https://docs.google.com/spreadsheets/d/1zA5LDh046PMNVU8ONXHA9gKBkE8m_N5laGAT0t2JyUg/edit?usp=sharing"",""Depenses_tresorerie!N7"")+IMPORTRANGE(""https://docs.google.com/spreadsheets/d/1zA5LDh046PMNVU8ONXHA9gKBkE8m_N5laGAT0t2JyUg/edit?usp=sha"&amp;"ring"",""Depenses_tresorerie!N9"")"),506911.996)</f>
        <v>506911.996</v>
      </c>
      <c r="C5" s="6">
        <f>B8/B5*100</f>
        <v>102.1330653</v>
      </c>
      <c r="D5" s="5"/>
      <c r="E5" s="4"/>
      <c r="F5" s="4"/>
    </row>
    <row r="6">
      <c r="A6" s="4" t="s">
        <v>131</v>
      </c>
      <c r="B6" s="13">
        <f>IFERROR(__xludf.DUMMYFUNCTION("IMPORTRANGE(""https://docs.google.com/spreadsheets/d/1zA5LDh046PMNVU8ONXHA9gKBkE8m_N5laGAT0t2JyUg/edit?usp=sharing"",""Depenses_tresorerie!N7"")"),434159.996)</f>
        <v>434159.996</v>
      </c>
      <c r="C6" s="6"/>
      <c r="D6" s="47">
        <f>B6/B5</f>
        <v>0.8564800191</v>
      </c>
    </row>
    <row r="7">
      <c r="A7" s="4" t="s">
        <v>132</v>
      </c>
      <c r="B7" s="13">
        <f>IFERROR(__xludf.DUMMYFUNCTION("IMPORTRANGE(""https://docs.google.com/spreadsheets/d/1zA5LDh046PMNVU8ONXHA9gKBkE8m_N5laGAT0t2JyUg/edit?usp=sharing"",""Depenses_tresorerie!N9"")"),72752.0)</f>
        <v>72752</v>
      </c>
      <c r="C7" s="6"/>
      <c r="D7" s="47">
        <f>B7/B5</f>
        <v>0.1435199809</v>
      </c>
    </row>
    <row r="8">
      <c r="A8" s="4" t="s">
        <v>133</v>
      </c>
      <c r="B8" s="13">
        <f>IFERROR(__xludf.DUMMYFUNCTION("IMPORTRANGE(""https://docs.google.com/spreadsheets/d/1zA5LDh046PMNVU8ONXHA9gKBkE8m_N5laGAT0t2JyUg/edit?usp=sharing"",""Depenses_tresorerie!N23"")"),517724.76)</f>
        <v>517724.76</v>
      </c>
      <c r="C8" s="6">
        <f>B10+B11+B12</f>
        <v>315108.57</v>
      </c>
      <c r="D8" s="47"/>
      <c r="F8" s="6">
        <f>B8/1.2</f>
        <v>431437.3</v>
      </c>
    </row>
    <row r="9">
      <c r="A9" s="4" t="s">
        <v>134</v>
      </c>
      <c r="B9" s="22">
        <f>IFERROR(__xludf.DUMMYFUNCTION("IMPORTRANGE(""https://docs.google.com/spreadsheets/d/1zA5LDh046PMNVU8ONXHA9gKBkE8m_N5laGAT0t2JyUg/edit?usp=sharing"",""Depenses_tresorerie!N11"")"),87399.99666666667)</f>
        <v>87399.99667</v>
      </c>
      <c r="C9" s="6"/>
      <c r="D9" s="47">
        <f>B9/B8</f>
        <v>0.1688155627</v>
      </c>
      <c r="E9" s="47">
        <f>B9/B5</f>
        <v>0.1724165089</v>
      </c>
    </row>
    <row r="10">
      <c r="A10" s="4" t="s">
        <v>135</v>
      </c>
      <c r="B10" s="13">
        <f>IFERROR(__xludf.DUMMYFUNCTION("IMPORTRANGE(""https://docs.google.com/spreadsheets/d/1zA5LDh046PMNVU8ONXHA9gKBkE8m_N5laGAT0t2JyUg/edit?usp=sharing"",""Depenses_tresorerie!N14"")"),200005.63999999998)</f>
        <v>200005.64</v>
      </c>
      <c r="C10" s="6">
        <f>B10/12</f>
        <v>16667.13667</v>
      </c>
      <c r="D10" s="47">
        <f>B10/B8</f>
        <v>0.3863165439</v>
      </c>
      <c r="E10" s="47">
        <f>B10/B5</f>
        <v>0.3945569282</v>
      </c>
    </row>
    <row r="11">
      <c r="A11" s="4" t="s">
        <v>136</v>
      </c>
      <c r="B11" s="13">
        <f>IFERROR(__xludf.DUMMYFUNCTION("IMPORTRANGE(""https://docs.google.com/spreadsheets/d/1zA5LDh046PMNVU8ONXHA9gKBkE8m_N5laGAT0t2JyUg/edit?usp=sharing"",""Depenses_tresorerie!N16"")"),102617.75)</f>
        <v>102617.75</v>
      </c>
      <c r="C11" s="6"/>
      <c r="D11" s="47">
        <f>B11/B8</f>
        <v>0.1982090831</v>
      </c>
      <c r="E11" s="47">
        <f>B11/B5</f>
        <v>0.2024370124</v>
      </c>
      <c r="F11" s="6">
        <f>B11/1.2</f>
        <v>85514.79167</v>
      </c>
    </row>
    <row r="12">
      <c r="A12" s="4" t="s">
        <v>137</v>
      </c>
      <c r="B12" s="13">
        <f>IFERROR(__xludf.DUMMYFUNCTION("IMPORTRANGE(""https://docs.google.com/spreadsheets/d/1zA5LDh046PMNVU8ONXHA9gKBkE8m_N5laGAT0t2JyUg/edit?usp=sharing"",""Depenses_tresorerie!N18"")"),12485.18)</f>
        <v>12485.18</v>
      </c>
      <c r="C12" s="6"/>
      <c r="D12" s="47">
        <f>B12/B8</f>
        <v>0.02411547788</v>
      </c>
      <c r="E12" s="47">
        <f>B12/B5</f>
        <v>0.02462987678</v>
      </c>
    </row>
    <row r="13">
      <c r="A13" s="4" t="s">
        <v>138</v>
      </c>
      <c r="B13" s="13">
        <f>IFERROR(__xludf.DUMMYFUNCTION("IMPORTRANGE(""https://docs.google.com/spreadsheets/d/1zA5LDh046PMNVU8ONXHA9gKBkE8m_N5laGAT0t2JyUg/edit?usp=sharing"",""Depenses_tresorerie!N19"")"),63256.0)</f>
        <v>63256</v>
      </c>
      <c r="C13" s="6"/>
      <c r="D13" s="47">
        <f>B13/B8</f>
        <v>0.122180751</v>
      </c>
      <c r="E13" s="47">
        <f>B13/B5</f>
        <v>0.1247869463</v>
      </c>
    </row>
    <row r="14">
      <c r="A14" s="4" t="s">
        <v>139</v>
      </c>
      <c r="B14" s="13">
        <f>IFERROR(__xludf.DUMMYFUNCTION("IMPORTRANGE(""https://docs.google.com/spreadsheets/d/1zA5LDh046PMNVU8ONXHA9gKBkE8m_N5laGAT0t2JyUg/edit?usp=sharing"",""Depenses_tresorerie!N20"")"),15901.689999999999)</f>
        <v>15901.69</v>
      </c>
      <c r="C14" s="6"/>
      <c r="D14" s="47">
        <f>B14/B8</f>
        <v>0.03071456347</v>
      </c>
      <c r="E14" s="47">
        <f>B14/B5</f>
        <v>0.03136972517</v>
      </c>
    </row>
    <row r="15">
      <c r="A15" s="4" t="s">
        <v>140</v>
      </c>
      <c r="B15" s="13">
        <f>IFERROR(__xludf.DUMMYFUNCTION("IMPORTRANGE(""https://docs.google.com/spreadsheets/d/1zA5LDh046PMNVU8ONXHA9gKBkE8m_N5laGAT0t2JyUg/edit?usp=sharing"",""Depenses_tresorerie!N21"")"),105108.56999999999)</f>
        <v>105108.57</v>
      </c>
      <c r="C15" s="6"/>
      <c r="D15" s="6"/>
    </row>
    <row r="16">
      <c r="A16" s="4" t="s">
        <v>141</v>
      </c>
      <c r="B16" s="30">
        <f>16000*12</f>
        <v>192000</v>
      </c>
      <c r="C16" s="6"/>
    </row>
    <row r="17">
      <c r="A17" s="4" t="s">
        <v>142</v>
      </c>
      <c r="B17" s="30">
        <f>B16/12</f>
        <v>16000</v>
      </c>
      <c r="C17" s="6"/>
    </row>
    <row r="18">
      <c r="A18" s="4" t="s">
        <v>143</v>
      </c>
      <c r="B18" s="6">
        <f>B10-B16</f>
        <v>8005.64</v>
      </c>
      <c r="C18" s="6"/>
    </row>
    <row r="19">
      <c r="A19" s="4" t="s">
        <v>144</v>
      </c>
      <c r="B19" s="30">
        <f>1000*12</f>
        <v>12000</v>
      </c>
    </row>
    <row r="20">
      <c r="A20" s="4" t="s">
        <v>145</v>
      </c>
      <c r="B20" s="4">
        <v>1000.0</v>
      </c>
    </row>
    <row r="21">
      <c r="A21" s="4" t="s">
        <v>146</v>
      </c>
      <c r="B21" s="6">
        <f>B11-B19</f>
        <v>90617.75</v>
      </c>
    </row>
    <row r="22">
      <c r="A22" s="4" t="s">
        <v>147</v>
      </c>
      <c r="B22" s="30">
        <f>500*12</f>
        <v>6000</v>
      </c>
    </row>
    <row r="23">
      <c r="A23" s="4" t="s">
        <v>148</v>
      </c>
      <c r="B23" s="30">
        <f>B22/12</f>
        <v>500</v>
      </c>
    </row>
    <row r="24">
      <c r="A24" s="4" t="s">
        <v>149</v>
      </c>
      <c r="B24" s="6">
        <f>B12-B22</f>
        <v>6485.18</v>
      </c>
    </row>
    <row r="28">
      <c r="A28" s="4" t="s">
        <v>150</v>
      </c>
      <c r="B28" s="30">
        <f>17500*12</f>
        <v>210000</v>
      </c>
    </row>
    <row r="29">
      <c r="A29" s="4" t="s">
        <v>151</v>
      </c>
      <c r="B29" s="30">
        <f>(370000*0.05)+17400+7500</f>
        <v>43400</v>
      </c>
      <c r="C29" s="30">
        <f>(370000*0.05)</f>
        <v>18500</v>
      </c>
      <c r="D29" s="6">
        <f>C29/12</f>
        <v>1541.666667</v>
      </c>
    </row>
    <row r="30">
      <c r="A30" s="4" t="s">
        <v>152</v>
      </c>
      <c r="B30" s="30">
        <f>600*12</f>
        <v>7200</v>
      </c>
    </row>
    <row r="31">
      <c r="A31" s="4" t="s">
        <v>153</v>
      </c>
      <c r="B31" s="30">
        <f>SUM(B28:B30)</f>
        <v>260600</v>
      </c>
      <c r="C31" s="6">
        <f>B31/1.2</f>
        <v>217166.6667</v>
      </c>
    </row>
    <row r="32">
      <c r="A32" s="4" t="s">
        <v>154</v>
      </c>
      <c r="B32" s="49">
        <f>C31/Data_chiffre_affaires!B23*100</f>
        <v>89.06780398</v>
      </c>
    </row>
    <row r="33">
      <c r="A33" s="4" t="s">
        <v>155</v>
      </c>
      <c r="B33" s="49">
        <f>((B10+B11+B12)/1.2)/Data_chiffre_affaires!B6*100</f>
        <v>70.58830289</v>
      </c>
    </row>
    <row r="34">
      <c r="A34" s="4" t="s">
        <v>156</v>
      </c>
      <c r="B34" s="4">
        <v>319431.0</v>
      </c>
      <c r="C34" s="6">
        <f>B34/Data_chiffre_affaires!B6*100</f>
        <v>85.86789822</v>
      </c>
      <c r="D34" s="6">
        <f>(B34+B13)/(434160+(Data_chiffre_affaires!B4*1.2))*100</f>
        <v>85.72672469</v>
      </c>
    </row>
    <row r="35">
      <c r="A35" s="4" t="s">
        <v>157</v>
      </c>
      <c r="B35" s="51">
        <f>IFERROR(__xludf.DUMMYFUNCTION("IMPORTRANGE(""https://docs.google.com/spreadsheets/d/1zA5LDh046PMNVU8ONXHA9gKBkE8m_N5laGAT0t2JyUg/edit?usp=sharing"",""Depenses_tresorerie!N8"")+IMPORTRANGE(""https://docs.google.com/spreadsheets/d/1zA5LDh046PMNVU8ONXHA9gKBkE8m_N5laGAT0t2JyUg/edit?usp=sha"&amp;"ring"",""Depenses_tresorerie!O9"")"),422426.6633333334)</f>
        <v>422426.6633</v>
      </c>
    </row>
  </sheetData>
  <drawing r:id="rId2"/>
  <legacyDrawing r:id="rId3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63"/>
    <col customWidth="1" min="2" max="2" width="16.5"/>
    <col customWidth="1" min="3" max="4" width="15.88"/>
    <col customWidth="1" min="5" max="9" width="14.5"/>
    <col customWidth="1" min="11" max="12" width="15.13"/>
  </cols>
  <sheetData>
    <row r="1">
      <c r="A1" s="1" t="s">
        <v>5</v>
      </c>
      <c r="B1" s="1" t="s">
        <v>1</v>
      </c>
      <c r="C1" s="1" t="s">
        <v>110</v>
      </c>
      <c r="D1" s="1" t="s">
        <v>111</v>
      </c>
      <c r="E1" s="1" t="s">
        <v>125</v>
      </c>
      <c r="F1" s="1"/>
      <c r="G1" s="1"/>
      <c r="H1" s="2"/>
      <c r="I1" s="2"/>
      <c r="J1" s="2"/>
      <c r="K1" s="1"/>
      <c r="L1" s="1"/>
      <c r="M1" s="1"/>
      <c r="N1" s="3"/>
      <c r="O1" s="3"/>
      <c r="P1" s="3"/>
    </row>
    <row r="2">
      <c r="A2" s="4" t="s">
        <v>158</v>
      </c>
      <c r="B2" s="13">
        <f>IFERROR(__xludf.DUMMYFUNCTION("IMPORTRANGE(""https://docs.google.com/spreadsheets/d/1zA5LDh046PMNVU8ONXHA9gKBkE8m_N5laGAT0t2JyUg/edit?usp=sharing"",""Investissements_2023!F15"")"),424.51)</f>
        <v>424.51</v>
      </c>
      <c r="C2" s="6"/>
    </row>
    <row r="3">
      <c r="A3" s="4" t="s">
        <v>159</v>
      </c>
      <c r="B3" s="13">
        <f>IFERROR(__xludf.DUMMYFUNCTION("IMPORTRANGE(""https://docs.google.com/spreadsheets/d/1zA5LDh046PMNVU8ONXHA9gKBkE8m_N5laGAT0t2JyUg/edit?usp=sharing"",""Investissements_2023!F13"")"),115.14)</f>
        <v>115.14</v>
      </c>
      <c r="C3" s="6"/>
      <c r="D3" s="7"/>
    </row>
    <row r="4">
      <c r="A4" s="4" t="s">
        <v>160</v>
      </c>
      <c r="B4" s="13">
        <f>IFERROR(__xludf.DUMMYFUNCTION("IMPORTRANGE(""https://docs.google.com/spreadsheets/d/1zA5LDh046PMNVU8ONXHA9gKBkE8m_N5laGAT0t2JyUg/edit?usp=sharing"",""Investissements_2023!F16"")"),1897.3)</f>
        <v>1897.3</v>
      </c>
      <c r="C4" s="6"/>
    </row>
    <row r="5">
      <c r="A5" s="4" t="s">
        <v>161</v>
      </c>
      <c r="B5" s="13" t="str">
        <f>IFERROR(__xludf.DUMMYFUNCTION("IMPORTRANGE(""https://docs.google.com/spreadsheets/d/1zA5LDh046PMNVU8ONXHA9gKBkE8m_N5laGAT0t2JyUg/edit?usp=sharing"",""Investissements_2023!J16"")"),"travaux bâtiment - Ne concerne pas RESIDE")</f>
        <v>travaux bâtiment - Ne concerne pas RESIDE</v>
      </c>
      <c r="C5" s="6"/>
      <c r="F5" s="4"/>
    </row>
    <row r="6">
      <c r="A6" s="4" t="s">
        <v>162</v>
      </c>
      <c r="B6" s="13">
        <f>IFERROR(__xludf.DUMMYFUNCTION("IMPORTRANGE(""https://docs.google.com/spreadsheets/d/1zA5LDh046PMNVU8ONXHA9gKBkE8m_N5laGAT0t2JyUg/edit?usp=sharing"",""Investissements_2023!D13"")"),1151.44)</f>
        <v>1151.44</v>
      </c>
      <c r="C6" s="6">
        <f>IFERROR(__xludf.DUMMYFUNCTION("IMPORTRANGE(""https://docs.google.com/spreadsheets/d/1zA5LDh046PMNVU8ONXHA9gKBkE8m_N5laGAT0t2JyUg/edit?usp=sharing"",""Investissements_2023!D14"")"),625.5)</f>
        <v>625.5</v>
      </c>
      <c r="D6" s="47">
        <f>B6/Data_depenses!B5*100</f>
        <v>0.2271479091</v>
      </c>
    </row>
    <row r="7">
      <c r="A7" s="4" t="s">
        <v>163</v>
      </c>
      <c r="B7" s="50">
        <f>(B9/Data_chiffre_affaires!B6)*100</f>
        <v>0.1681438882</v>
      </c>
      <c r="C7" s="49">
        <f>C6/Data_chiffre_affaires!B6*100</f>
        <v>0.1681438882</v>
      </c>
      <c r="D7" s="47"/>
    </row>
    <row r="8">
      <c r="A8" s="4" t="s">
        <v>164</v>
      </c>
      <c r="B8" s="50">
        <f>(B9/Data_depenses!F11)*100</f>
        <v>0.7314524047</v>
      </c>
      <c r="C8" s="6"/>
      <c r="D8" s="47"/>
    </row>
    <row r="9">
      <c r="A9" s="4" t="s">
        <v>165</v>
      </c>
      <c r="B9" s="22">
        <f>IFERROR(__xludf.DUMMYFUNCTION("IMPORTRANGE(""https://docs.google.com/spreadsheets/d/1zA5LDh046PMNVU8ONXHA9gKBkE8m_N5laGAT0t2JyUg/edit?usp=sharing"",""Investissements_2023!D14"")"),625.5)</f>
        <v>625.5</v>
      </c>
      <c r="C9" s="6"/>
      <c r="D9" s="47"/>
    </row>
    <row r="10">
      <c r="A10" s="4" t="s">
        <v>166</v>
      </c>
      <c r="B10" s="13">
        <f>(B9/Data_depenses!F8)*100</f>
        <v>0.1449805105</v>
      </c>
      <c r="C10" s="6"/>
      <c r="D10" s="47"/>
      <c r="E10" s="47"/>
    </row>
    <row r="11">
      <c r="B11" s="6"/>
      <c r="C11" s="6"/>
      <c r="D11" s="47"/>
      <c r="E11" s="47"/>
    </row>
    <row r="12">
      <c r="C12" s="6"/>
      <c r="D12" s="47"/>
      <c r="E12" s="47"/>
    </row>
    <row r="13">
      <c r="B13" s="13"/>
      <c r="C13" s="6"/>
      <c r="D13" s="47"/>
      <c r="E13" s="47"/>
    </row>
    <row r="14">
      <c r="B14" s="13"/>
      <c r="C14" s="6"/>
      <c r="D14" s="47"/>
      <c r="E14" s="47"/>
    </row>
    <row r="15">
      <c r="B15" s="13"/>
      <c r="C15" s="6"/>
      <c r="D15" s="6"/>
    </row>
    <row r="16">
      <c r="C16" s="6"/>
    </row>
    <row r="17">
      <c r="C17" s="6"/>
    </row>
    <row r="18">
      <c r="C18" s="6"/>
    </row>
  </sheetData>
  <drawing r:id="rId2"/>
  <legacyDrawing r:id="rId3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25"/>
  </cols>
  <sheetData>
    <row r="1">
      <c r="A1" s="1" t="s">
        <v>5</v>
      </c>
      <c r="B1" s="1" t="s">
        <v>1</v>
      </c>
      <c r="C1" s="1" t="s">
        <v>110</v>
      </c>
    </row>
    <row r="2">
      <c r="A2" s="52" t="s">
        <v>167</v>
      </c>
      <c r="B2" s="53">
        <f>IFERROR(__xludf.DUMMYFUNCTION("IMPORTRANGE(""https://docs.google.com/spreadsheets/d/1zA5LDh046PMNVU8ONXHA9gKBkE8m_N5laGAT0t2JyUg/edit?usp=sharing"",""Perf_agents!B2"")"),26.0)</f>
        <v>26</v>
      </c>
    </row>
    <row r="3">
      <c r="A3" s="10" t="s">
        <v>168</v>
      </c>
      <c r="B3" s="13">
        <f>IFERROR(__xludf.DUMMYFUNCTION("IMPORTRANGE(""https://docs.google.com/spreadsheets/d/1zA5LDh046PMNVU8ONXHA9gKBkE8m_N5laGAT0t2JyUg/edit?usp=sharing"",""Perf_agents!B3"")"),19.0)</f>
        <v>19</v>
      </c>
    </row>
    <row r="4">
      <c r="A4" s="10" t="s">
        <v>169</v>
      </c>
      <c r="B4" s="13">
        <f>IFERROR(__xludf.DUMMYFUNCTION("IMPORTRANGE(""https://docs.google.com/spreadsheets/d/1zA5LDh046PMNVU8ONXHA9gKBkE8m_N5laGAT0t2JyUg/edit?usp=sharing"",""Perf_agents!B4"")"),1.0)</f>
        <v>1</v>
      </c>
    </row>
    <row r="5">
      <c r="A5" s="10" t="s">
        <v>170</v>
      </c>
      <c r="B5" s="13">
        <f>IFERROR(__xludf.DUMMYFUNCTION("IMPORTRANGE(""https://docs.google.com/spreadsheets/d/1zA5LDh046PMNVU8ONXHA9gKBkE8m_N5laGAT0t2JyUg/edit?usp=sharing"",""Perf_agents!F2"")"),4.0)</f>
        <v>4</v>
      </c>
    </row>
    <row r="6">
      <c r="A6" s="54" t="s">
        <v>171</v>
      </c>
      <c r="B6" s="13">
        <f>IFERROR(__xludf.DUMMYFUNCTION("IMPORTRANGE(""https://docs.google.com/spreadsheets/d/1zA5LDh046PMNVU8ONXHA9gKBkE8m_N5laGAT0t2JyUg/edit?usp=sharing"",""Perf_agents!F3"")"),6.0)</f>
        <v>6</v>
      </c>
    </row>
    <row r="7">
      <c r="A7" s="10" t="s">
        <v>172</v>
      </c>
      <c r="B7" s="22">
        <f>IFERROR(__xludf.DUMMYFUNCTION("IMPORTRANGE(""https://docs.google.com/spreadsheets/d/1zA5LDh046PMNVU8ONXHA9gKBkE8m_N5laGAT0t2JyUg/edit?usp=sharing"",""Perf_agents!I2"")"),28.0)</f>
        <v>28</v>
      </c>
    </row>
    <row r="8">
      <c r="A8" s="54" t="s">
        <v>173</v>
      </c>
      <c r="B8" s="13">
        <f>IFERROR(__xludf.DUMMYFUNCTION("IMPORTRANGE(""https://docs.google.com/spreadsheets/d/1zA5LDh046PMNVU8ONXHA9gKBkE8m_N5laGAT0t2JyUg/edit?usp=sharing"",""Perf_agents!I3"")"),14.0)</f>
        <v>14</v>
      </c>
    </row>
    <row r="9">
      <c r="A9" s="10" t="s">
        <v>174</v>
      </c>
      <c r="B9" s="13">
        <f>IFERROR(__xludf.DUMMYFUNCTION("IMPORTRANGE(""https://docs.google.com/spreadsheets/d/1zA5LDh046PMNVU8ONXHA9gKBkE8m_N5laGAT0t2JyUg/edit?usp=sharing"",""Perf_agents!L2"")"),6.0)</f>
        <v>6</v>
      </c>
    </row>
    <row r="10">
      <c r="A10" s="54" t="s">
        <v>175</v>
      </c>
      <c r="B10" s="13">
        <f>IFERROR(__xludf.DUMMYFUNCTION("IMPORTRANGE(""https://docs.google.com/spreadsheets/d/1zA5LDh046PMNVU8ONXHA9gKBkE8m_N5laGAT0t2JyUg/edit?usp=sharing"",""Perf_agents!L3"")"),1.0)</f>
        <v>1</v>
      </c>
    </row>
    <row r="11">
      <c r="A11" s="10"/>
      <c r="B11" s="14"/>
    </row>
    <row r="12">
      <c r="A12" s="10" t="s">
        <v>64</v>
      </c>
      <c r="B12" s="13">
        <f>IFERROR(__xludf.DUMMYFUNCTION("IMPORTRANGE(""https://docs.google.com/spreadsheets/d/1zA5LDh046PMNVU8ONXHA9gKBkE8m_N5laGAT0t2JyUg/edit?usp=sharing"",""Perf_agents!C2"")"),206966.6633333333)</f>
        <v>206966.6633</v>
      </c>
    </row>
    <row r="13">
      <c r="A13" s="10" t="s">
        <v>65</v>
      </c>
      <c r="B13" s="13">
        <f>IFERROR(__xludf.DUMMYFUNCTION("IMPORTRANGE(""https://docs.google.com/spreadsheets/d/1zA5LDh046PMNVU8ONXHA9gKBkE8m_N5laGAT0t2JyUg/edit?usp=sharing"",""Perf_agents!C3"")"),145666.6666666667)</f>
        <v>145666.6667</v>
      </c>
    </row>
    <row r="14">
      <c r="A14" s="10" t="s">
        <v>66</v>
      </c>
      <c r="B14" s="13">
        <f>IFERROR(__xludf.DUMMYFUNCTION("IMPORTRANGE(""https://docs.google.com/spreadsheets/d/1zA5LDh046PMNVU8ONXHA9gKBkE8m_N5laGAT0t2JyUg/edit?usp=sharing"",""Perf_agents!C4"")"),9166.0)</f>
        <v>9166</v>
      </c>
    </row>
    <row r="15">
      <c r="A15" s="10" t="s">
        <v>176</v>
      </c>
      <c r="B15" s="13">
        <f>IFERROR(__xludf.DUMMYFUNCTION("IMPORTRANGE(""https://docs.google.com/spreadsheets/d/1zA5LDh046PMNVU8ONXHA9gKBkE8m_N5laGAT0t2JyUg/edit?usp=sharing"",""Perf_agents!D2"")"),206966.6633333333)</f>
        <v>206966.6633</v>
      </c>
    </row>
    <row r="16">
      <c r="A16" s="10" t="s">
        <v>177</v>
      </c>
      <c r="B16" s="13">
        <f>IFERROR(__xludf.DUMMYFUNCTION("IMPORTRANGE(""https://docs.google.com/spreadsheets/d/1zA5LDh046PMNVU8ONXHA9gKBkE8m_N5laGAT0t2JyUg/edit?usp=sharing"",""Perf_agents!D3"")"),58266.66666666668)</f>
        <v>58266.66667</v>
      </c>
    </row>
    <row r="17">
      <c r="A17" s="54" t="s">
        <v>178</v>
      </c>
      <c r="B17" s="11">
        <f>IFERROR(__xludf.DUMMYFUNCTION("IMPORTRANGE(""https://docs.google.com/spreadsheets/d/1zA5LDh046PMNVU8ONXHA9gKBkE8m_N5laGAT0t2JyUg/edit?usp=sharing"",""Perf_agents!D4"")"),7975.0)</f>
        <v>7975</v>
      </c>
    </row>
    <row r="18">
      <c r="A18" s="10" t="s">
        <v>179</v>
      </c>
      <c r="B18" s="13">
        <f>IFERROR(__xludf.DUMMYFUNCTION("IMPORTRANGE(""https://docs.google.com/spreadsheets/d/1zA5LDh046PMNVU8ONXHA9gKBkE8m_N5laGAT0t2JyUg/edit?usp=sharing"",""Perf_agents!G2"")"),28333.333333333336)</f>
        <v>28333.33333</v>
      </c>
    </row>
    <row r="19">
      <c r="A19" s="10" t="s">
        <v>180</v>
      </c>
      <c r="B19" s="13">
        <f>IFERROR(__xludf.DUMMYFUNCTION("IMPORTRANGE(""https://docs.google.com/spreadsheets/d/1zA5LDh046PMNVU8ONXHA9gKBkE8m_N5laGAT0t2JyUg/edit?usp=sharing"",""Perf_agents!G3"")"),43333.333333333336)</f>
        <v>43333.33333</v>
      </c>
    </row>
    <row r="20">
      <c r="A20" s="10" t="s">
        <v>181</v>
      </c>
      <c r="B20" s="13">
        <f>IFERROR(__xludf.DUMMYFUNCTION("IMPORTRANGE(""https://docs.google.com/spreadsheets/d/1zA5LDh046PMNVU8ONXHA9gKBkE8m_N5laGAT0t2JyUg/edit?usp=sharing"",""Perf_agents!J2"")"),211758.32999999996)</f>
        <v>211758.33</v>
      </c>
    </row>
    <row r="21">
      <c r="A21" s="10" t="s">
        <v>182</v>
      </c>
      <c r="B21" s="13">
        <f>IFERROR(__xludf.DUMMYFUNCTION("IMPORTRANGE(""https://docs.google.com/spreadsheets/d/1zA5LDh046PMNVU8ONXHA9gKBkE8m_N5laGAT0t2JyUg/edit?usp=sharing"",""Perf_agents!J3"")"),110666.66666666667)</f>
        <v>110666.6667</v>
      </c>
    </row>
    <row r="22">
      <c r="A22" s="10" t="s">
        <v>183</v>
      </c>
      <c r="B22" s="13">
        <f>IFERROR(__xludf.DUMMYFUNCTION("IMPORTRANGE(""https://docs.google.com/spreadsheets/d/1zA5LDh046PMNVU8ONXHA9gKBkE8m_N5laGAT0t2JyUg/edit?usp=sharing"",""Perf_agents!M2"")"),33125.0)</f>
        <v>33125</v>
      </c>
    </row>
    <row r="23">
      <c r="A23" s="10" t="s">
        <v>184</v>
      </c>
      <c r="B23" s="13">
        <f>IFERROR(__xludf.DUMMYFUNCTION("IMPORTRANGE(""https://docs.google.com/spreadsheets/d/1zA5LDh046PMNVU8ONXHA9gKBkE8m_N5laGAT0t2JyUg/edit?usp=sharing"",""Perf_agents!M3"")"),8333.333333333334)</f>
        <v>8333.333333</v>
      </c>
    </row>
    <row r="24">
      <c r="A24" s="10"/>
      <c r="B24" s="10"/>
    </row>
    <row r="25">
      <c r="A25" s="10" t="s">
        <v>185</v>
      </c>
      <c r="B25" s="11">
        <f>IFERROR(__xludf.DUMMYFUNCTION("IMPORTRANGE(""https://docs.google.com/spreadsheets/d/1zA5LDh046PMNVU8ONXHA9gKBkE8m_N5laGAT0t2JyUg/edit?usp=sharing"",""Perf_agents!E2"")"),0.0)</f>
        <v>0</v>
      </c>
    </row>
    <row r="26">
      <c r="A26" s="10" t="s">
        <v>186</v>
      </c>
      <c r="B26" s="11">
        <f>IFERROR(__xludf.DUMMYFUNCTION("IMPORTRANGE(""https://docs.google.com/spreadsheets/d/1zA5LDh046PMNVU8ONXHA9gKBkE8m_N5laGAT0t2JyUg/edit?usp=sharing"",""Perf_agents!E3"")"),87400.0)</f>
        <v>87400</v>
      </c>
    </row>
    <row r="27">
      <c r="A27" s="54" t="s">
        <v>187</v>
      </c>
      <c r="B27" s="11">
        <f>IFERROR(__xludf.DUMMYFUNCTION("IMPORTRANGE(""https://docs.google.com/spreadsheets/d/1zA5LDh046PMNVU8ONXHA9gKBkE8m_N5laGAT0t2JyUg/edit?usp=sharing"",""Perf_agents!E4"")"),1191.0)</f>
        <v>1191</v>
      </c>
    </row>
    <row r="28">
      <c r="A28" s="10" t="s">
        <v>188</v>
      </c>
      <c r="B28" s="11">
        <f>IFERROR(__xludf.DUMMYFUNCTION("IMPORTRANGE(""https://docs.google.com/spreadsheets/d/1zA5LDh046PMNVU8ONXHA9gKBkE8m_N5laGAT0t2JyUg/edit?usp=sharing"",""Perf_agents!H2"")"),0.0)</f>
        <v>0</v>
      </c>
    </row>
    <row r="29">
      <c r="A29" s="10" t="s">
        <v>189</v>
      </c>
      <c r="B29" s="11">
        <f>IFERROR(__xludf.DUMMYFUNCTION("IMPORTRANGE(""https://docs.google.com/spreadsheets/d/1zA5LDh046PMNVU8ONXHA9gKBkE8m_N5laGAT0t2JyUg/edit?usp=sharing"",""Perf_agents!H3"")"),26000.0)</f>
        <v>26000</v>
      </c>
    </row>
    <row r="30">
      <c r="A30" s="10" t="s">
        <v>190</v>
      </c>
      <c r="B30" s="11">
        <f>IFERROR(__xludf.DUMMYFUNCTION("IMPORTRANGE(""https://docs.google.com/spreadsheets/d/1zA5LDh046PMNVU8ONXHA9gKBkE8m_N5laGAT0t2JyUg/edit?usp=sharing"",""Perf_agents!K2"")"),0.0)</f>
        <v>0</v>
      </c>
    </row>
    <row r="31">
      <c r="A31" s="10" t="s">
        <v>191</v>
      </c>
      <c r="B31" s="11">
        <f>IFERROR(__xludf.DUMMYFUNCTION("IMPORTRANGE(""https://docs.google.com/spreadsheets/d/1zA5LDh046PMNVU8ONXHA9gKBkE8m_N5laGAT0t2JyUg/edit?usp=sharing"",""Perf_agents!K3"")"),66400.0)</f>
        <v>66400</v>
      </c>
    </row>
    <row r="32">
      <c r="A32" s="10" t="s">
        <v>192</v>
      </c>
      <c r="B32" s="11">
        <f>IFERROR(__xludf.DUMMYFUNCTION("IMPORTRANGE(""https://docs.google.com/spreadsheets/d/1zA5LDh046PMNVU8ONXHA9gKBkE8m_N5laGAT0t2JyUg/edit?usp=sharing"",""Perf_agents!N2"")"),0.0)</f>
        <v>0</v>
      </c>
    </row>
    <row r="33">
      <c r="A33" s="10" t="s">
        <v>193</v>
      </c>
      <c r="B33" s="11">
        <f>IFERROR(__xludf.DUMMYFUNCTION("IMPORTRANGE(""https://docs.google.com/spreadsheets/d/1zA5LDh046PMNVU8ONXHA9gKBkE8m_N5laGAT0t2JyUg/edit?usp=sharing"",""Perf_agents!N3"")"),5000.0)</f>
        <v>5000</v>
      </c>
    </row>
    <row r="35">
      <c r="A35" s="4" t="s">
        <v>194</v>
      </c>
      <c r="B35" s="6">
        <f>IFERROR(__xludf.DUMMYFUNCTION("IMPORTRANGE(""https://docs.google.com/spreadsheets/d/1zA5LDh046PMNVU8ONXHA9gKBkE8m_N5laGAT0t2JyUg/edit?usp=sharing"",""Perf_agents!E21"")"),206966.6633333333)</f>
        <v>206966.6633</v>
      </c>
    </row>
    <row r="36">
      <c r="A36" s="4" t="s">
        <v>195</v>
      </c>
      <c r="B36" s="6">
        <f>IFERROR(__xludf.DUMMYFUNCTION("IMPORTRANGE(""https://docs.google.com/spreadsheets/d/1zA5LDh046PMNVU8ONXHA9gKBkE8m_N5laGAT0t2JyUg/edit?usp=sharing"",""Perf_agents!E38"")"),58266.66666666668)</f>
        <v>58266.66667</v>
      </c>
    </row>
    <row r="38">
      <c r="A38" s="4" t="s">
        <v>196</v>
      </c>
    </row>
    <row r="41">
      <c r="A41" s="28" t="s">
        <v>197</v>
      </c>
      <c r="B41" s="22">
        <v>69996.0</v>
      </c>
      <c r="C41" s="13"/>
      <c r="D41" s="10"/>
      <c r="E41" s="10"/>
    </row>
    <row r="42">
      <c r="A42" s="28" t="s">
        <v>198</v>
      </c>
      <c r="B42" s="22">
        <f>B41-B43</f>
        <v>42000</v>
      </c>
      <c r="C42" s="13"/>
      <c r="D42" s="46"/>
      <c r="E42" s="10"/>
    </row>
    <row r="43">
      <c r="A43" s="28" t="s">
        <v>199</v>
      </c>
      <c r="B43" s="55">
        <v>27996.0</v>
      </c>
      <c r="C43" s="13"/>
      <c r="D43" s="46"/>
      <c r="E43" s="10"/>
    </row>
    <row r="44">
      <c r="A44" s="28" t="s">
        <v>200</v>
      </c>
      <c r="B44" s="22">
        <v>8333.0</v>
      </c>
      <c r="C44" s="13"/>
      <c r="D44" s="10"/>
      <c r="E44" s="10"/>
    </row>
    <row r="45">
      <c r="A45" s="28" t="s">
        <v>201</v>
      </c>
      <c r="B45" s="22">
        <v>3333.0</v>
      </c>
      <c r="C45" s="13"/>
      <c r="D45" s="10"/>
      <c r="E45" s="10"/>
    </row>
    <row r="46">
      <c r="A46" s="28" t="s">
        <v>202</v>
      </c>
      <c r="B46" s="22">
        <v>65665.0</v>
      </c>
      <c r="C46" s="6">
        <f>B46+B55</f>
        <v>92214</v>
      </c>
      <c r="D46" s="10"/>
      <c r="E46" s="10"/>
    </row>
    <row r="47">
      <c r="A47" s="28" t="s">
        <v>203</v>
      </c>
      <c r="B47" s="22">
        <f>B46*0.5</f>
        <v>32832.5</v>
      </c>
      <c r="C47" s="18"/>
      <c r="D47" s="10"/>
      <c r="E47" s="10"/>
    </row>
    <row r="48">
      <c r="A48" s="28" t="s">
        <v>204</v>
      </c>
      <c r="B48" s="22">
        <f>B46*0.5</f>
        <v>32832.5</v>
      </c>
      <c r="C48" s="6">
        <f>B48+B57</f>
        <v>46107</v>
      </c>
      <c r="D48" s="10"/>
      <c r="E48" s="10"/>
    </row>
    <row r="49">
      <c r="A49" s="28" t="s">
        <v>205</v>
      </c>
      <c r="B49" s="56">
        <f>B46-B50</f>
        <v>39400</v>
      </c>
      <c r="C49" s="14">
        <f>B47-B49</f>
        <v>-6567.5</v>
      </c>
      <c r="D49" s="10"/>
      <c r="E49" s="10"/>
    </row>
    <row r="50">
      <c r="A50" s="28" t="s">
        <v>206</v>
      </c>
      <c r="B50" s="46">
        <v>26265.0</v>
      </c>
      <c r="C50" s="10"/>
      <c r="D50" s="10"/>
      <c r="E50" s="10"/>
    </row>
    <row r="51">
      <c r="A51" s="28" t="s">
        <v>207</v>
      </c>
      <c r="B51" s="46">
        <v>164583.0</v>
      </c>
      <c r="C51" s="10"/>
      <c r="D51" s="10"/>
      <c r="E51" s="10"/>
    </row>
    <row r="52">
      <c r="A52" s="28" t="s">
        <v>208</v>
      </c>
      <c r="B52" s="46">
        <v>164583.0</v>
      </c>
    </row>
    <row r="53">
      <c r="A53" s="28" t="s">
        <v>209</v>
      </c>
    </row>
    <row r="54">
      <c r="A54" s="28" t="s">
        <v>210</v>
      </c>
    </row>
    <row r="55">
      <c r="A55" s="28" t="s">
        <v>211</v>
      </c>
      <c r="B55" s="4">
        <v>26549.0</v>
      </c>
    </row>
    <row r="56">
      <c r="A56" s="28" t="s">
        <v>212</v>
      </c>
      <c r="B56" s="5">
        <f>B55*0.5</f>
        <v>13274.5</v>
      </c>
    </row>
    <row r="57">
      <c r="A57" s="28" t="s">
        <v>204</v>
      </c>
      <c r="B57" s="5">
        <f>B55*0.5</f>
        <v>13274.5</v>
      </c>
    </row>
    <row r="58">
      <c r="A58" s="28" t="s">
        <v>206</v>
      </c>
      <c r="B58" s="5">
        <f>B56</f>
        <v>13274.5</v>
      </c>
    </row>
    <row r="59">
      <c r="A59" s="28" t="s">
        <v>213</v>
      </c>
      <c r="B59" s="4">
        <v>15832.0</v>
      </c>
      <c r="C59" s="30">
        <f>B59+B62</f>
        <v>25832</v>
      </c>
    </row>
    <row r="60">
      <c r="A60" s="28" t="s">
        <v>214</v>
      </c>
      <c r="B60" s="30">
        <f>B59*0.5</f>
        <v>7916</v>
      </c>
    </row>
    <row r="61">
      <c r="A61" s="28" t="s">
        <v>215</v>
      </c>
      <c r="B61" s="30">
        <f>B59*0.5</f>
        <v>7916</v>
      </c>
      <c r="C61" s="30">
        <f>B61+B64</f>
        <v>12916</v>
      </c>
    </row>
    <row r="62">
      <c r="A62" s="4" t="s">
        <v>216</v>
      </c>
      <c r="B62" s="4">
        <v>10000.0</v>
      </c>
    </row>
    <row r="63">
      <c r="A63" s="4" t="s">
        <v>217</v>
      </c>
      <c r="B63" s="30">
        <f>B62*0.5</f>
        <v>5000</v>
      </c>
    </row>
    <row r="64">
      <c r="A64" s="4" t="s">
        <v>215</v>
      </c>
      <c r="B64" s="30">
        <f>B62*0.5</f>
        <v>5000</v>
      </c>
    </row>
  </sheetData>
  <drawing r:id="rId2"/>
  <legacyDrawing r:id="rId3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25"/>
  </cols>
  <sheetData>
    <row r="1">
      <c r="A1" s="1" t="s">
        <v>5</v>
      </c>
      <c r="B1" s="1" t="s">
        <v>1</v>
      </c>
      <c r="C1" s="1" t="s">
        <v>110</v>
      </c>
    </row>
    <row r="2">
      <c r="A2" s="4" t="s">
        <v>11</v>
      </c>
      <c r="B2" s="30">
        <f>IFERROR(__xludf.DUMMYFUNCTION("IMPORTRANGE(""https://docs.google.com/spreadsheets/d/15-T8p6Spj94rgjtigS4K1Txxrtq2lA5cZX9vdvUiAsQ/edit?usp=sharing"",""Evolution_CA!C4"")"),37.0)</f>
        <v>37</v>
      </c>
    </row>
    <row r="3">
      <c r="A3" s="57" t="s">
        <v>218</v>
      </c>
      <c r="B3" s="30">
        <f>IFERROR(__xludf.DUMMYFUNCTION("IMPORTRANGE(""https://docs.google.com/spreadsheets/d/15-T8p6Spj94rgjtigS4K1Txxrtq2lA5cZX9vdvUiAsQ/edit?usp=sharing"",""Evolution_CA!C3"")"),46.0)</f>
        <v>46</v>
      </c>
    </row>
    <row r="4">
      <c r="A4" s="57" t="s">
        <v>219</v>
      </c>
      <c r="B4" s="30">
        <f>IFERROR(__xludf.DUMMYFUNCTION("IMPORTRANGE(""https://docs.google.com/spreadsheets/d/15-T8p6Spj94rgjtigS4K1Txxrtq2lA5cZX9vdvUiAsQ/edit?usp=sharing"",""Evolution_CA!C2"")"),39.0)</f>
        <v>39</v>
      </c>
    </row>
    <row r="5">
      <c r="A5" s="4" t="s">
        <v>9</v>
      </c>
      <c r="B5" s="51">
        <f>IFERROR(__xludf.DUMMYFUNCTION("IMPORTRANGE(""https://docs.google.com/spreadsheets/d/15-T8p6Spj94rgjtigS4K1Txxrtq2lA5cZX9vdvUiAsQ/edit?usp=sharing"",""Evolution_CA!B4"")"),277368.0)</f>
        <v>277368</v>
      </c>
    </row>
    <row r="6">
      <c r="A6" s="4" t="s">
        <v>220</v>
      </c>
      <c r="B6" s="51">
        <f>IFERROR(__xludf.DUMMYFUNCTION("IMPORTRANGE(""https://docs.google.com/spreadsheets/d/15-T8p6Spj94rgjtigS4K1Txxrtq2lA5cZX9vdvUiAsQ/edit?usp=sharing"",""Evolution_CA!B3"")"),352327.0)</f>
        <v>352327</v>
      </c>
    </row>
    <row r="7">
      <c r="A7" s="4" t="s">
        <v>221</v>
      </c>
      <c r="B7" s="51">
        <f>IFERROR(__xludf.DUMMYFUNCTION("IMPORTRANGE(""https://docs.google.com/spreadsheets/d/15-T8p6Spj94rgjtigS4K1Txxrtq2lA5cZX9vdvUiAsQ/edit?usp=sharing"",""Evolution_CA!B2"")"),303168.0)</f>
        <v>303168</v>
      </c>
    </row>
    <row r="8">
      <c r="A8" s="4" t="s">
        <v>222</v>
      </c>
      <c r="B8" s="30" t="str">
        <f>IFERROR(__xludf.DUMMYFUNCTION("IMPORTRANGE(""https://docs.google.com/spreadsheets/d/15-T8p6Spj94rgjtigS4K1Txxrtq2lA5cZX9vdvUiAsQ/edit?usp=sharing"",""Resultats!B4"")"),"#REF!")</f>
        <v>#REF!</v>
      </c>
    </row>
    <row r="9">
      <c r="A9" s="4" t="s">
        <v>223</v>
      </c>
      <c r="B9" s="30" t="str">
        <f>IFERROR(__xludf.DUMMYFUNCTION("IMPORTRANGE(""https://docs.google.com/spreadsheets/d/15-T8p6Spj94rgjtigS4K1Txxrtq2lA5cZX9vdvUiAsQ/edit?usp=sharing"",""Resultats!B3"")"),"#REF!")</f>
        <v>#REF!</v>
      </c>
    </row>
    <row r="10">
      <c r="A10" s="4" t="s">
        <v>224</v>
      </c>
      <c r="B10" s="30" t="str">
        <f>IFERROR(__xludf.DUMMYFUNCTION("IMPORTRANGE(""https://docs.google.com/spreadsheets/d/15-T8p6Spj94rgjtigS4K1Txxrtq2lA5cZX9vdvUiAsQ/edit?usp=sharing"",""Resultats!B2"")"),"#REF!")</f>
        <v>#REF!</v>
      </c>
    </row>
    <row r="11">
      <c r="A11" s="4" t="s">
        <v>225</v>
      </c>
      <c r="B11" s="30" t="str">
        <f>IFERROR(__xludf.DUMMYFUNCTION("IMPORTRANGE(""https://docs.google.com/spreadsheets/d/15-T8p6Spj94rgjtigS4K1Txxrtq2lA5cZX9vdvUiAsQ/edit?usp=sharing"",""Resultats!D4"")"),"#REF!")</f>
        <v>#REF!</v>
      </c>
    </row>
    <row r="12">
      <c r="A12" s="4" t="s">
        <v>226</v>
      </c>
      <c r="B12" s="30" t="str">
        <f>IFERROR(__xludf.DUMMYFUNCTION("IMPORTRANGE(""https://docs.google.com/spreadsheets/d/15-T8p6Spj94rgjtigS4K1Txxrtq2lA5cZX9vdvUiAsQ/edit?usp=sharing"",""Resultats!D3"")"),"#REF!")</f>
        <v>#REF!</v>
      </c>
    </row>
    <row r="13">
      <c r="A13" s="4" t="s">
        <v>227</v>
      </c>
      <c r="B13" s="30" t="str">
        <f>IFERROR(__xludf.DUMMYFUNCTION("IMPORTRANGE(""https://docs.google.com/spreadsheets/d/15-T8p6Spj94rgjtigS4K1Txxrtq2lA5cZX9vdvUiAsQ/edit?usp=sharing"",""Resultats!D2"")"),"#REF!")</f>
        <v>#REF!</v>
      </c>
    </row>
  </sheetData>
  <drawing r:id="rId1"/>
</worksheet>
</file>